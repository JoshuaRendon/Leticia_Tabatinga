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G:\Unidades compartidas\Proyectos\SEDES\LETICIA\"/>
    </mc:Choice>
  </mc:AlternateContent>
  <xr:revisionPtr revIDLastSave="0" documentId="13_ncr:1_{95AA798F-7E9F-44E5-B971-FE2026DA1AD3}" xr6:coauthVersionLast="47" xr6:coauthVersionMax="47" xr10:uidLastSave="{00000000-0000-0000-0000-000000000000}"/>
  <bookViews>
    <workbookView xWindow="-28920" yWindow="-120" windowWidth="29040" windowHeight="15720" activeTab="1" xr2:uid="{00000000-000D-0000-FFFF-FFFF00000000}"/>
  </bookViews>
  <sheets>
    <sheet name="Puntos" sheetId="5" r:id="rId1"/>
    <sheet name="Fisico_quim" sheetId="2" r:id="rId2"/>
    <sheet name="IRCA_vertical" sheetId="4" r:id="rId3"/>
    <sheet name="IRCA" sheetId="3" r:id="rId4"/>
    <sheet name="Hoja1" sheetId="1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oBeyC+kPNdW1im991oS8UqcGN6yd/zu/LrjLlkwKGZU="/>
    </ext>
  </extLst>
</workbook>
</file>

<file path=xl/calcChain.xml><?xml version="1.0" encoding="utf-8"?>
<calcChain xmlns="http://schemas.openxmlformats.org/spreadsheetml/2006/main">
  <c r="C2" i="5" l="1"/>
  <c r="B2" i="5"/>
  <c r="E29" i="4"/>
  <c r="D29" i="4"/>
  <c r="C29" i="4"/>
  <c r="E28" i="4"/>
  <c r="C28" i="4"/>
  <c r="D27" i="4"/>
  <c r="D26" i="4"/>
  <c r="D28" i="4" s="1"/>
</calcChain>
</file>

<file path=xl/sharedStrings.xml><?xml version="1.0" encoding="utf-8"?>
<sst xmlns="http://schemas.openxmlformats.org/spreadsheetml/2006/main" count="504" uniqueCount="196">
  <si>
    <t>RESULTADOS 39741</t>
  </si>
  <si>
    <t>Parámetro</t>
  </si>
  <si>
    <t>Unidades</t>
  </si>
  <si>
    <t>Método</t>
  </si>
  <si>
    <t>Fecha de Análisis</t>
  </si>
  <si>
    <t>Resultado</t>
  </si>
  <si>
    <t>Turbiedad</t>
  </si>
  <si>
    <t>UNT</t>
  </si>
  <si>
    <t>SM 2130 B</t>
  </si>
  <si>
    <t>Color Aparente</t>
  </si>
  <si>
    <t>UPC</t>
  </si>
  <si>
    <t>SM 2120 B</t>
  </si>
  <si>
    <t>pH</t>
  </si>
  <si>
    <t>SM 4500 H+B</t>
  </si>
  <si>
    <t>Conductividad Específica</t>
  </si>
  <si>
    <r>
      <rPr>
        <sz val="6"/>
        <color theme="1"/>
        <rFont val="Arial"/>
        <family val="2"/>
      </rPr>
      <t>µS/cm  25</t>
    </r>
    <r>
      <rPr>
        <vertAlign val="superscript"/>
        <sz val="6"/>
        <color theme="1"/>
        <rFont val="Arial MT"/>
      </rPr>
      <t>o</t>
    </r>
    <r>
      <rPr>
        <sz val="6"/>
        <color theme="1"/>
        <rFont val="Arial MT"/>
      </rPr>
      <t>C</t>
    </r>
  </si>
  <si>
    <t>SM 2510 B</t>
  </si>
  <si>
    <t>Alcalinidad total</t>
  </si>
  <si>
    <r>
      <rPr>
        <sz val="6"/>
        <color theme="1"/>
        <rFont val="Arial"/>
        <family val="2"/>
      </rPr>
      <t>mg/L CaCO</t>
    </r>
    <r>
      <rPr>
        <vertAlign val="subscript"/>
        <sz val="6"/>
        <color theme="1"/>
        <rFont val="Arial MT"/>
      </rPr>
      <t>3</t>
    </r>
  </si>
  <si>
    <t>SM 2320 (Indicador)</t>
  </si>
  <si>
    <t>Acidez total</t>
  </si>
  <si>
    <r>
      <rPr>
        <sz val="6"/>
        <color theme="1"/>
        <rFont val="Arial"/>
        <family val="2"/>
      </rPr>
      <t>mg/L CaCO</t>
    </r>
    <r>
      <rPr>
        <vertAlign val="subscript"/>
        <sz val="6"/>
        <color theme="1"/>
        <rFont val="Arial MT"/>
      </rPr>
      <t>3</t>
    </r>
  </si>
  <si>
    <t>SM 2310 B</t>
  </si>
  <si>
    <t>Dureza total</t>
  </si>
  <si>
    <r>
      <rPr>
        <sz val="6"/>
        <color theme="1"/>
        <rFont val="Arial"/>
        <family val="2"/>
      </rPr>
      <t>mg/L CaCO</t>
    </r>
    <r>
      <rPr>
        <vertAlign val="subscript"/>
        <sz val="6"/>
        <color theme="1"/>
        <rFont val="Arial MT"/>
      </rPr>
      <t>3</t>
    </r>
  </si>
  <si>
    <t>SM 2340 C</t>
  </si>
  <si>
    <t>Dureza Cálcica</t>
  </si>
  <si>
    <r>
      <rPr>
        <sz val="6"/>
        <color theme="1"/>
        <rFont val="Arial"/>
        <family val="2"/>
      </rPr>
      <t>mg/L CaCO</t>
    </r>
    <r>
      <rPr>
        <vertAlign val="subscript"/>
        <sz val="6"/>
        <color theme="1"/>
        <rFont val="Arial MT"/>
      </rPr>
      <t>3</t>
    </r>
  </si>
  <si>
    <t>SM 3500-Ca,B</t>
  </si>
  <si>
    <t>&lt;5</t>
  </si>
  <si>
    <t>Dureza Magnésica</t>
  </si>
  <si>
    <r>
      <rPr>
        <sz val="6"/>
        <color theme="1"/>
        <rFont val="Arial"/>
        <family val="2"/>
      </rPr>
      <t>mg/L CaCO</t>
    </r>
    <r>
      <rPr>
        <vertAlign val="subscript"/>
        <sz val="6"/>
        <color theme="1"/>
        <rFont val="Arial MT"/>
      </rPr>
      <t>3</t>
    </r>
  </si>
  <si>
    <t>SM 3500-Mg,B</t>
  </si>
  <si>
    <t>Calcio por titulación</t>
  </si>
  <si>
    <t>mg/L Ca</t>
  </si>
  <si>
    <t>Magnesio</t>
  </si>
  <si>
    <t>mg/L Mg</t>
  </si>
  <si>
    <t>Hierro</t>
  </si>
  <si>
    <r>
      <rPr>
        <sz val="6"/>
        <color theme="1"/>
        <rFont val="Arial"/>
        <family val="2"/>
      </rPr>
      <t xml:space="preserve">mg/L Fe </t>
    </r>
    <r>
      <rPr>
        <vertAlign val="superscript"/>
        <sz val="6"/>
        <color theme="1"/>
        <rFont val="Arial MT"/>
      </rPr>
      <t>+3</t>
    </r>
  </si>
  <si>
    <t>SM 3111 B</t>
  </si>
  <si>
    <t>&lt;0,1</t>
  </si>
  <si>
    <t>Manganeso</t>
  </si>
  <si>
    <r>
      <rPr>
        <sz val="6"/>
        <color theme="1"/>
        <rFont val="Arial"/>
        <family val="2"/>
      </rPr>
      <t xml:space="preserve">mg/L Mn </t>
    </r>
    <r>
      <rPr>
        <vertAlign val="superscript"/>
        <sz val="6"/>
        <color theme="1"/>
        <rFont val="Arial MT"/>
      </rPr>
      <t>+7</t>
    </r>
  </si>
  <si>
    <t>&lt;0,05</t>
  </si>
  <si>
    <t>Carbono Orgánico Total</t>
  </si>
  <si>
    <t>mg/L C</t>
  </si>
  <si>
    <t>SM 5310 B</t>
  </si>
  <si>
    <t>&lt;1</t>
  </si>
  <si>
    <t>Zinc</t>
  </si>
  <si>
    <t>mg/L Zn</t>
  </si>
  <si>
    <t>Fluoruros</t>
  </si>
  <si>
    <r>
      <rPr>
        <sz val="6"/>
        <color theme="1"/>
        <rFont val="Arial"/>
        <family val="2"/>
      </rPr>
      <t>mg/L F</t>
    </r>
    <r>
      <rPr>
        <vertAlign val="superscript"/>
        <sz val="6"/>
        <color theme="1"/>
        <rFont val="Arial MT"/>
      </rPr>
      <t>-</t>
    </r>
  </si>
  <si>
    <t>SM 4110 B</t>
  </si>
  <si>
    <t>Nitritos</t>
  </si>
  <si>
    <r>
      <rPr>
        <sz val="6"/>
        <color theme="1"/>
        <rFont val="Arial"/>
        <family val="2"/>
      </rPr>
      <t>mg/L N- NO</t>
    </r>
    <r>
      <rPr>
        <vertAlign val="subscript"/>
        <sz val="6"/>
        <color theme="1"/>
        <rFont val="Arial MT"/>
      </rPr>
      <t>2</t>
    </r>
    <r>
      <rPr>
        <sz val="6"/>
        <color theme="1"/>
        <rFont val="Arial MT"/>
      </rPr>
      <t xml:space="preserve"> </t>
    </r>
    <r>
      <rPr>
        <vertAlign val="superscript"/>
        <sz val="6"/>
        <color theme="1"/>
        <rFont val="Arial MT"/>
      </rPr>
      <t>-</t>
    </r>
  </si>
  <si>
    <t>Nitratos</t>
  </si>
  <si>
    <r>
      <rPr>
        <sz val="6"/>
        <color theme="1"/>
        <rFont val="Arial"/>
        <family val="2"/>
      </rPr>
      <t>mg/L N- NO</t>
    </r>
    <r>
      <rPr>
        <vertAlign val="subscript"/>
        <sz val="6"/>
        <color theme="1"/>
        <rFont val="Arial MT"/>
      </rPr>
      <t>3</t>
    </r>
    <r>
      <rPr>
        <sz val="6"/>
        <color theme="1"/>
        <rFont val="Arial MT"/>
      </rPr>
      <t xml:space="preserve"> </t>
    </r>
    <r>
      <rPr>
        <vertAlign val="superscript"/>
        <sz val="6"/>
        <color theme="1"/>
        <rFont val="Arial MT"/>
      </rPr>
      <t>-</t>
    </r>
  </si>
  <si>
    <t>Cloruros</t>
  </si>
  <si>
    <r>
      <rPr>
        <sz val="6"/>
        <color theme="1"/>
        <rFont val="Arial"/>
        <family val="2"/>
      </rPr>
      <t xml:space="preserve">mg/L Cl </t>
    </r>
    <r>
      <rPr>
        <vertAlign val="superscript"/>
        <sz val="6"/>
        <color theme="1"/>
        <rFont val="Arial MT"/>
      </rPr>
      <t>-</t>
    </r>
  </si>
  <si>
    <t>SM 4110B</t>
  </si>
  <si>
    <t>Sulfatos</t>
  </si>
  <si>
    <r>
      <rPr>
        <sz val="6"/>
        <color theme="1"/>
        <rFont val="Arial"/>
        <family val="2"/>
      </rPr>
      <t>mg/L SO</t>
    </r>
    <r>
      <rPr>
        <vertAlign val="subscript"/>
        <sz val="6"/>
        <color theme="1"/>
        <rFont val="Arial MT"/>
      </rPr>
      <t>4</t>
    </r>
    <r>
      <rPr>
        <sz val="6"/>
        <color theme="1"/>
        <rFont val="Arial MT"/>
      </rPr>
      <t xml:space="preserve"> </t>
    </r>
    <r>
      <rPr>
        <vertAlign val="superscript"/>
        <sz val="6"/>
        <color theme="1"/>
        <rFont val="Arial MT"/>
      </rPr>
      <t>=</t>
    </r>
  </si>
  <si>
    <t>Ortofosfatos</t>
  </si>
  <si>
    <r>
      <rPr>
        <sz val="6"/>
        <color theme="1"/>
        <rFont val="Arial"/>
        <family val="2"/>
      </rPr>
      <t>mg/L-PO</t>
    </r>
    <r>
      <rPr>
        <vertAlign val="subscript"/>
        <sz val="6"/>
        <color theme="1"/>
        <rFont val="Arial MT"/>
      </rPr>
      <t>4</t>
    </r>
    <r>
      <rPr>
        <vertAlign val="superscript"/>
        <sz val="6"/>
        <color theme="1"/>
        <rFont val="Arial MT"/>
      </rPr>
      <t>-3</t>
    </r>
  </si>
  <si>
    <t>SólidosTotales</t>
  </si>
  <si>
    <t>mg/L</t>
  </si>
  <si>
    <t>SM 2540 B</t>
  </si>
  <si>
    <t>Sólidos Suspendidos Totales</t>
  </si>
  <si>
    <t>SM 2540 D</t>
  </si>
  <si>
    <t>RESULTADOS 39742</t>
  </si>
  <si>
    <t>&gt;100</t>
  </si>
  <si>
    <r>
      <rPr>
        <sz val="6"/>
        <color theme="1"/>
        <rFont val="Arial"/>
        <family val="2"/>
      </rPr>
      <t>µS/cm  25</t>
    </r>
    <r>
      <rPr>
        <vertAlign val="superscript"/>
        <sz val="6"/>
        <color theme="1"/>
        <rFont val="Arial MT"/>
      </rPr>
      <t>o</t>
    </r>
    <r>
      <rPr>
        <sz val="6"/>
        <color theme="1"/>
        <rFont val="Arial MT"/>
      </rPr>
      <t>C</t>
    </r>
  </si>
  <si>
    <r>
      <rPr>
        <sz val="6"/>
        <color theme="1"/>
        <rFont val="Arial"/>
        <family val="2"/>
      </rPr>
      <t>mg/L CaCO</t>
    </r>
    <r>
      <rPr>
        <vertAlign val="subscript"/>
        <sz val="6"/>
        <color theme="1"/>
        <rFont val="Arial MT"/>
      </rPr>
      <t>3</t>
    </r>
  </si>
  <si>
    <r>
      <rPr>
        <sz val="6"/>
        <color theme="1"/>
        <rFont val="Arial"/>
        <family val="2"/>
      </rPr>
      <t>mg/L CaCO</t>
    </r>
    <r>
      <rPr>
        <vertAlign val="subscript"/>
        <sz val="6"/>
        <color theme="1"/>
        <rFont val="Arial MT"/>
      </rPr>
      <t>3</t>
    </r>
  </si>
  <si>
    <r>
      <rPr>
        <sz val="6"/>
        <color theme="1"/>
        <rFont val="Arial"/>
        <family val="2"/>
      </rPr>
      <t>mg/L CaCO</t>
    </r>
    <r>
      <rPr>
        <vertAlign val="subscript"/>
        <sz val="6"/>
        <color theme="1"/>
        <rFont val="Arial MT"/>
      </rPr>
      <t>3</t>
    </r>
  </si>
  <si>
    <r>
      <rPr>
        <sz val="6"/>
        <color theme="1"/>
        <rFont val="Arial"/>
        <family val="2"/>
      </rPr>
      <t>mg/L CaCO</t>
    </r>
    <r>
      <rPr>
        <vertAlign val="subscript"/>
        <sz val="6"/>
        <color theme="1"/>
        <rFont val="Arial MT"/>
      </rPr>
      <t>3</t>
    </r>
  </si>
  <si>
    <r>
      <rPr>
        <sz val="6"/>
        <color theme="1"/>
        <rFont val="Arial"/>
        <family val="2"/>
      </rPr>
      <t>mg/L CaCO</t>
    </r>
    <r>
      <rPr>
        <vertAlign val="subscript"/>
        <sz val="6"/>
        <color theme="1"/>
        <rFont val="Arial MT"/>
      </rPr>
      <t>3</t>
    </r>
  </si>
  <si>
    <r>
      <rPr>
        <sz val="6"/>
        <color theme="1"/>
        <rFont val="Arial"/>
        <family val="2"/>
      </rPr>
      <t xml:space="preserve">mg/L Fe </t>
    </r>
    <r>
      <rPr>
        <vertAlign val="superscript"/>
        <sz val="6"/>
        <color theme="1"/>
        <rFont val="Arial MT"/>
      </rPr>
      <t>+3</t>
    </r>
  </si>
  <si>
    <r>
      <rPr>
        <sz val="6"/>
        <color theme="1"/>
        <rFont val="Arial"/>
        <family val="2"/>
      </rPr>
      <t xml:space="preserve">mg/L Mn </t>
    </r>
    <r>
      <rPr>
        <vertAlign val="superscript"/>
        <sz val="6"/>
        <color theme="1"/>
        <rFont val="Arial MT"/>
      </rPr>
      <t>+7</t>
    </r>
  </si>
  <si>
    <r>
      <rPr>
        <sz val="6"/>
        <color theme="1"/>
        <rFont val="Arial"/>
        <family val="2"/>
      </rPr>
      <t>mg/L F</t>
    </r>
    <r>
      <rPr>
        <vertAlign val="superscript"/>
        <sz val="6"/>
        <color theme="1"/>
        <rFont val="Arial MT"/>
      </rPr>
      <t>-</t>
    </r>
  </si>
  <si>
    <r>
      <rPr>
        <sz val="6"/>
        <color theme="1"/>
        <rFont val="Arial"/>
        <family val="2"/>
      </rPr>
      <t>mg/L N- NO</t>
    </r>
    <r>
      <rPr>
        <vertAlign val="subscript"/>
        <sz val="6"/>
        <color theme="1"/>
        <rFont val="Arial MT"/>
      </rPr>
      <t>2</t>
    </r>
    <r>
      <rPr>
        <sz val="6"/>
        <color theme="1"/>
        <rFont val="Arial MT"/>
      </rPr>
      <t xml:space="preserve"> </t>
    </r>
    <r>
      <rPr>
        <vertAlign val="superscript"/>
        <sz val="6"/>
        <color theme="1"/>
        <rFont val="Arial MT"/>
      </rPr>
      <t>-</t>
    </r>
  </si>
  <si>
    <r>
      <rPr>
        <sz val="6"/>
        <color theme="1"/>
        <rFont val="Arial"/>
        <family val="2"/>
      </rPr>
      <t>mg/L N- NO</t>
    </r>
    <r>
      <rPr>
        <vertAlign val="subscript"/>
        <sz val="6"/>
        <color theme="1"/>
        <rFont val="Arial MT"/>
      </rPr>
      <t>3</t>
    </r>
    <r>
      <rPr>
        <sz val="6"/>
        <color theme="1"/>
        <rFont val="Arial MT"/>
      </rPr>
      <t xml:space="preserve"> </t>
    </r>
    <r>
      <rPr>
        <vertAlign val="superscript"/>
        <sz val="6"/>
        <color theme="1"/>
        <rFont val="Arial MT"/>
      </rPr>
      <t>-</t>
    </r>
  </si>
  <si>
    <r>
      <rPr>
        <sz val="6"/>
        <color theme="1"/>
        <rFont val="Arial"/>
        <family val="2"/>
      </rPr>
      <t xml:space="preserve">mg/L Cl </t>
    </r>
    <r>
      <rPr>
        <vertAlign val="superscript"/>
        <sz val="6"/>
        <color theme="1"/>
        <rFont val="Arial MT"/>
      </rPr>
      <t>-</t>
    </r>
  </si>
  <si>
    <r>
      <rPr>
        <sz val="6"/>
        <color theme="1"/>
        <rFont val="Arial"/>
        <family val="2"/>
      </rPr>
      <t>mg/L SO</t>
    </r>
    <r>
      <rPr>
        <vertAlign val="subscript"/>
        <sz val="6"/>
        <color theme="1"/>
        <rFont val="Arial MT"/>
      </rPr>
      <t>4</t>
    </r>
    <r>
      <rPr>
        <sz val="6"/>
        <color theme="1"/>
        <rFont val="Arial MT"/>
      </rPr>
      <t xml:space="preserve"> </t>
    </r>
    <r>
      <rPr>
        <vertAlign val="superscript"/>
        <sz val="6"/>
        <color theme="1"/>
        <rFont val="Arial MT"/>
      </rPr>
      <t>=</t>
    </r>
  </si>
  <si>
    <r>
      <rPr>
        <sz val="6"/>
        <color theme="1"/>
        <rFont val="Arial"/>
        <family val="2"/>
      </rPr>
      <t>mg/L-PO</t>
    </r>
    <r>
      <rPr>
        <vertAlign val="subscript"/>
        <sz val="6"/>
        <color theme="1"/>
        <rFont val="Arial MT"/>
      </rPr>
      <t>4</t>
    </r>
    <r>
      <rPr>
        <vertAlign val="superscript"/>
        <sz val="6"/>
        <color theme="1"/>
        <rFont val="Arial MT"/>
      </rPr>
      <t>-3</t>
    </r>
  </si>
  <si>
    <t>Coliformes totales</t>
  </si>
  <si>
    <t>NMP/100 mL</t>
  </si>
  <si>
    <t>SM 9221 C</t>
  </si>
  <si>
    <r>
      <rPr>
        <sz val="6"/>
        <color theme="1"/>
        <rFont val="Arial"/>
        <family val="2"/>
      </rPr>
      <t>1,7 x 10</t>
    </r>
    <r>
      <rPr>
        <vertAlign val="superscript"/>
        <sz val="6"/>
        <color theme="1"/>
        <rFont val="Arial MT"/>
      </rPr>
      <t>3</t>
    </r>
  </si>
  <si>
    <t>E. coli</t>
  </si>
  <si>
    <r>
      <rPr>
        <sz val="6"/>
        <color theme="1"/>
        <rFont val="Arial"/>
        <family val="2"/>
      </rPr>
      <t>1,1 x 10</t>
    </r>
    <r>
      <rPr>
        <vertAlign val="superscript"/>
        <sz val="6"/>
        <color theme="1"/>
        <rFont val="Arial MT"/>
      </rPr>
      <t>3</t>
    </r>
  </si>
  <si>
    <t>RESULTADOS 39743</t>
  </si>
  <si>
    <r>
      <rPr>
        <sz val="6"/>
        <color theme="1"/>
        <rFont val="Arial"/>
        <family val="2"/>
      </rPr>
      <t>µS/cm  25</t>
    </r>
    <r>
      <rPr>
        <vertAlign val="superscript"/>
        <sz val="6"/>
        <color theme="1"/>
        <rFont val="Arial MT"/>
      </rPr>
      <t>o</t>
    </r>
    <r>
      <rPr>
        <sz val="6"/>
        <color theme="1"/>
        <rFont val="Arial MT"/>
      </rPr>
      <t>C</t>
    </r>
  </si>
  <si>
    <r>
      <rPr>
        <sz val="6"/>
        <color theme="1"/>
        <rFont val="Arial"/>
        <family val="2"/>
      </rPr>
      <t>mg/L CaCO</t>
    </r>
    <r>
      <rPr>
        <vertAlign val="subscript"/>
        <sz val="6"/>
        <color theme="1"/>
        <rFont val="Arial MT"/>
      </rPr>
      <t>3</t>
    </r>
  </si>
  <si>
    <r>
      <rPr>
        <sz val="6"/>
        <color theme="1"/>
        <rFont val="Arial"/>
        <family val="2"/>
      </rPr>
      <t>mg/L CaCO</t>
    </r>
    <r>
      <rPr>
        <vertAlign val="subscript"/>
        <sz val="6"/>
        <color theme="1"/>
        <rFont val="Arial MT"/>
      </rPr>
      <t>3</t>
    </r>
  </si>
  <si>
    <r>
      <rPr>
        <sz val="6"/>
        <color theme="1"/>
        <rFont val="Arial"/>
        <family val="2"/>
      </rPr>
      <t>mg/L CaCO</t>
    </r>
    <r>
      <rPr>
        <vertAlign val="subscript"/>
        <sz val="6"/>
        <color theme="1"/>
        <rFont val="Arial MT"/>
      </rPr>
      <t>3</t>
    </r>
  </si>
  <si>
    <r>
      <rPr>
        <sz val="6"/>
        <color theme="1"/>
        <rFont val="Arial"/>
        <family val="2"/>
      </rPr>
      <t>mg/L CaCO</t>
    </r>
    <r>
      <rPr>
        <vertAlign val="subscript"/>
        <sz val="6"/>
        <color theme="1"/>
        <rFont val="Arial MT"/>
      </rPr>
      <t>3</t>
    </r>
  </si>
  <si>
    <r>
      <rPr>
        <sz val="6"/>
        <color theme="1"/>
        <rFont val="Arial"/>
        <family val="2"/>
      </rPr>
      <t>mg/L CaCO</t>
    </r>
    <r>
      <rPr>
        <vertAlign val="subscript"/>
        <sz val="6"/>
        <color theme="1"/>
        <rFont val="Arial MT"/>
      </rPr>
      <t>3</t>
    </r>
  </si>
  <si>
    <r>
      <rPr>
        <sz val="6"/>
        <color theme="1"/>
        <rFont val="Arial"/>
        <family val="2"/>
      </rPr>
      <t xml:space="preserve">mg/L Fe </t>
    </r>
    <r>
      <rPr>
        <vertAlign val="superscript"/>
        <sz val="6"/>
        <color theme="1"/>
        <rFont val="Arial MT"/>
      </rPr>
      <t>+3</t>
    </r>
  </si>
  <si>
    <r>
      <rPr>
        <sz val="6"/>
        <color theme="1"/>
        <rFont val="Arial"/>
        <family val="2"/>
      </rPr>
      <t xml:space="preserve">mg/L Mn </t>
    </r>
    <r>
      <rPr>
        <vertAlign val="superscript"/>
        <sz val="6"/>
        <color theme="1"/>
        <rFont val="Arial MT"/>
      </rPr>
      <t>+7</t>
    </r>
  </si>
  <si>
    <r>
      <rPr>
        <sz val="6"/>
        <color theme="1"/>
        <rFont val="Arial"/>
        <family val="2"/>
      </rPr>
      <t>mg/L F</t>
    </r>
    <r>
      <rPr>
        <vertAlign val="superscript"/>
        <sz val="6"/>
        <color theme="1"/>
        <rFont val="Arial MT"/>
      </rPr>
      <t>-</t>
    </r>
  </si>
  <si>
    <t>&lt;0,02</t>
  </si>
  <si>
    <r>
      <rPr>
        <sz val="6"/>
        <color theme="1"/>
        <rFont val="Arial"/>
        <family val="2"/>
      </rPr>
      <t>mg/L N- NO</t>
    </r>
    <r>
      <rPr>
        <vertAlign val="subscript"/>
        <sz val="6"/>
        <color theme="1"/>
        <rFont val="Arial MT"/>
      </rPr>
      <t>2</t>
    </r>
    <r>
      <rPr>
        <sz val="6"/>
        <color theme="1"/>
        <rFont val="Arial MT"/>
      </rPr>
      <t xml:space="preserve"> </t>
    </r>
    <r>
      <rPr>
        <vertAlign val="superscript"/>
        <sz val="6"/>
        <color theme="1"/>
        <rFont val="Arial MT"/>
      </rPr>
      <t>-</t>
    </r>
  </si>
  <si>
    <r>
      <rPr>
        <sz val="6"/>
        <color theme="1"/>
        <rFont val="Arial"/>
        <family val="2"/>
      </rPr>
      <t>mg/L N- NO</t>
    </r>
    <r>
      <rPr>
        <vertAlign val="subscript"/>
        <sz val="6"/>
        <color theme="1"/>
        <rFont val="Arial MT"/>
      </rPr>
      <t>3</t>
    </r>
    <r>
      <rPr>
        <sz val="6"/>
        <color theme="1"/>
        <rFont val="Arial MT"/>
      </rPr>
      <t xml:space="preserve"> </t>
    </r>
    <r>
      <rPr>
        <vertAlign val="superscript"/>
        <sz val="6"/>
        <color theme="1"/>
        <rFont val="Arial MT"/>
      </rPr>
      <t>-</t>
    </r>
  </si>
  <si>
    <r>
      <rPr>
        <sz val="6"/>
        <color theme="1"/>
        <rFont val="Arial"/>
        <family val="2"/>
      </rPr>
      <t xml:space="preserve">mg/L Cl </t>
    </r>
    <r>
      <rPr>
        <vertAlign val="superscript"/>
        <sz val="6"/>
        <color theme="1"/>
        <rFont val="Arial MT"/>
      </rPr>
      <t>-</t>
    </r>
  </si>
  <si>
    <r>
      <rPr>
        <sz val="6"/>
        <color theme="1"/>
        <rFont val="Arial"/>
        <family val="2"/>
      </rPr>
      <t>mg/L SO</t>
    </r>
    <r>
      <rPr>
        <vertAlign val="subscript"/>
        <sz val="6"/>
        <color theme="1"/>
        <rFont val="Arial MT"/>
      </rPr>
      <t>4</t>
    </r>
    <r>
      <rPr>
        <sz val="6"/>
        <color theme="1"/>
        <rFont val="Arial MT"/>
      </rPr>
      <t xml:space="preserve"> </t>
    </r>
    <r>
      <rPr>
        <vertAlign val="superscript"/>
        <sz val="6"/>
        <color theme="1"/>
        <rFont val="Arial MT"/>
      </rPr>
      <t>=</t>
    </r>
  </si>
  <si>
    <r>
      <rPr>
        <sz val="6"/>
        <color theme="1"/>
        <rFont val="Arial"/>
        <family val="2"/>
      </rPr>
      <t>mg/L-PO</t>
    </r>
    <r>
      <rPr>
        <vertAlign val="subscript"/>
        <sz val="6"/>
        <color theme="1"/>
        <rFont val="Arial MT"/>
      </rPr>
      <t>4</t>
    </r>
    <r>
      <rPr>
        <vertAlign val="superscript"/>
        <sz val="6"/>
        <color theme="1"/>
        <rFont val="Arial MT"/>
      </rPr>
      <t>-3</t>
    </r>
  </si>
  <si>
    <t>&lt;0,2</t>
  </si>
  <si>
    <t>&lt;18</t>
  </si>
  <si>
    <t>Pozo UN</t>
  </si>
  <si>
    <t>Rio Amazonas</t>
  </si>
  <si>
    <t>Punto</t>
  </si>
  <si>
    <t>-</t>
  </si>
  <si>
    <r>
      <t>µS/cm  25</t>
    </r>
    <r>
      <rPr>
        <vertAlign val="superscript"/>
        <sz val="11"/>
        <color theme="1"/>
        <rFont val="Verdana"/>
        <family val="2"/>
      </rPr>
      <t>o</t>
    </r>
    <r>
      <rPr>
        <sz val="11"/>
        <color theme="1"/>
        <rFont val="Verdana"/>
        <family val="2"/>
      </rPr>
      <t>C</t>
    </r>
  </si>
  <si>
    <r>
      <t>mg/L CaCO</t>
    </r>
    <r>
      <rPr>
        <vertAlign val="subscript"/>
        <sz val="11"/>
        <color theme="1"/>
        <rFont val="Verdana"/>
        <family val="2"/>
      </rPr>
      <t>3</t>
    </r>
  </si>
  <si>
    <r>
      <t xml:space="preserve">mg/L Fe </t>
    </r>
    <r>
      <rPr>
        <vertAlign val="superscript"/>
        <sz val="11"/>
        <color theme="1"/>
        <rFont val="Verdana"/>
        <family val="2"/>
      </rPr>
      <t>+3</t>
    </r>
  </si>
  <si>
    <r>
      <t xml:space="preserve">mg/L Mn </t>
    </r>
    <r>
      <rPr>
        <vertAlign val="superscript"/>
        <sz val="11"/>
        <color theme="1"/>
        <rFont val="Verdana"/>
        <family val="2"/>
      </rPr>
      <t>+7</t>
    </r>
  </si>
  <si>
    <r>
      <t>mg/L F</t>
    </r>
    <r>
      <rPr>
        <vertAlign val="superscript"/>
        <sz val="11"/>
        <color theme="1"/>
        <rFont val="Verdana"/>
        <family val="2"/>
      </rPr>
      <t>-</t>
    </r>
  </si>
  <si>
    <r>
      <t>mg/L N- NO</t>
    </r>
    <r>
      <rPr>
        <vertAlign val="subscript"/>
        <sz val="11"/>
        <color theme="1"/>
        <rFont val="Verdana"/>
        <family val="2"/>
      </rPr>
      <t>2</t>
    </r>
    <r>
      <rPr>
        <sz val="11"/>
        <color theme="1"/>
        <rFont val="Verdana"/>
        <family val="2"/>
      </rPr>
      <t xml:space="preserve"> </t>
    </r>
    <r>
      <rPr>
        <vertAlign val="superscript"/>
        <sz val="11"/>
        <color theme="1"/>
        <rFont val="Verdana"/>
        <family val="2"/>
      </rPr>
      <t>-</t>
    </r>
  </si>
  <si>
    <r>
      <t>mg/L N- NO</t>
    </r>
    <r>
      <rPr>
        <vertAlign val="subscript"/>
        <sz val="11"/>
        <color theme="1"/>
        <rFont val="Verdana"/>
        <family val="2"/>
      </rPr>
      <t>3</t>
    </r>
    <r>
      <rPr>
        <sz val="11"/>
        <color theme="1"/>
        <rFont val="Verdana"/>
        <family val="2"/>
      </rPr>
      <t xml:space="preserve"> </t>
    </r>
    <r>
      <rPr>
        <vertAlign val="superscript"/>
        <sz val="11"/>
        <color theme="1"/>
        <rFont val="Verdana"/>
        <family val="2"/>
      </rPr>
      <t>-</t>
    </r>
  </si>
  <si>
    <r>
      <t xml:space="preserve">mg/L Cl </t>
    </r>
    <r>
      <rPr>
        <vertAlign val="superscript"/>
        <sz val="11"/>
        <color theme="1"/>
        <rFont val="Verdana"/>
        <family val="2"/>
      </rPr>
      <t>-</t>
    </r>
  </si>
  <si>
    <r>
      <t>mg/L SO</t>
    </r>
    <r>
      <rPr>
        <vertAlign val="subscript"/>
        <sz val="11"/>
        <color theme="1"/>
        <rFont val="Verdana"/>
        <family val="2"/>
      </rPr>
      <t>4</t>
    </r>
    <r>
      <rPr>
        <sz val="11"/>
        <color theme="1"/>
        <rFont val="Verdana"/>
        <family val="2"/>
      </rPr>
      <t xml:space="preserve"> </t>
    </r>
    <r>
      <rPr>
        <vertAlign val="superscript"/>
        <sz val="11"/>
        <color theme="1"/>
        <rFont val="Verdana"/>
        <family val="2"/>
      </rPr>
      <t>=</t>
    </r>
  </si>
  <si>
    <r>
      <t>mg/L-PO</t>
    </r>
    <r>
      <rPr>
        <vertAlign val="subscript"/>
        <sz val="11"/>
        <color theme="1"/>
        <rFont val="Verdana"/>
        <family val="2"/>
      </rPr>
      <t>4</t>
    </r>
    <r>
      <rPr>
        <vertAlign val="superscript"/>
        <sz val="11"/>
        <color theme="1"/>
        <rFont val="Verdana"/>
        <family val="2"/>
      </rPr>
      <t>-3</t>
    </r>
  </si>
  <si>
    <r>
      <t>1,7 x 10</t>
    </r>
    <r>
      <rPr>
        <vertAlign val="superscript"/>
        <sz val="11"/>
        <color theme="1"/>
        <rFont val="Verdana"/>
        <family val="2"/>
      </rPr>
      <t>3</t>
    </r>
  </si>
  <si>
    <r>
      <t>1,1 x 10</t>
    </r>
    <r>
      <rPr>
        <vertAlign val="superscript"/>
        <sz val="11"/>
        <color theme="1"/>
        <rFont val="Verdana"/>
        <family val="2"/>
      </rPr>
      <t>3</t>
    </r>
  </si>
  <si>
    <t>característica</t>
  </si>
  <si>
    <t>Puntaje de riesgo</t>
  </si>
  <si>
    <t>Color aparente</t>
  </si>
  <si>
    <t>Alacalinidad total</t>
  </si>
  <si>
    <t>Calcio</t>
  </si>
  <si>
    <t>Fosfatos</t>
  </si>
  <si>
    <t>Hierro total</t>
  </si>
  <si>
    <t>COT</t>
  </si>
  <si>
    <t>Coniformes totales</t>
  </si>
  <si>
    <t>Escherichia Coli</t>
  </si>
  <si>
    <t>Sumatoria de puntajes asignados</t>
  </si>
  <si>
    <t>Características</t>
  </si>
  <si>
    <t>Expresadas como</t>
  </si>
  <si>
    <t>Valor máximo aceptable</t>
  </si>
  <si>
    <t>Unidades de Platino Cobalto (UPC)</t>
  </si>
  <si>
    <t>turbiedad</t>
  </si>
  <si>
    <t>Unidades Nefelométricas de turbiedad (UNT)</t>
  </si>
  <si>
    <t>Carbono orgánico total</t>
  </si>
  <si>
    <t>nitritos</t>
  </si>
  <si>
    <t>NO-2</t>
  </si>
  <si>
    <t>nitratos</t>
  </si>
  <si>
    <t>NO-3</t>
  </si>
  <si>
    <t>F</t>
  </si>
  <si>
    <t>Ca</t>
  </si>
  <si>
    <t>CaCo3</t>
  </si>
  <si>
    <t>cl-</t>
  </si>
  <si>
    <t>Ca Co3</t>
  </si>
  <si>
    <t>Fe</t>
  </si>
  <si>
    <t>Mg</t>
  </si>
  <si>
    <t>Mn</t>
  </si>
  <si>
    <t>SO2-4</t>
  </si>
  <si>
    <t>Zn</t>
  </si>
  <si>
    <t>Po 3- 4</t>
  </si>
  <si>
    <t>ph</t>
  </si>
  <si>
    <t>6.5-9</t>
  </si>
  <si>
    <t>UFC</t>
  </si>
  <si>
    <t>NUMAE</t>
  </si>
  <si>
    <t>IRCA</t>
  </si>
  <si>
    <t>Pozo UN - Ene</t>
  </si>
  <si>
    <t>Rio Amazonas - Ene</t>
  </si>
  <si>
    <t>NUMAE - Ene</t>
  </si>
  <si>
    <t>Mes</t>
  </si>
  <si>
    <t>Enero</t>
  </si>
  <si>
    <t>mes</t>
  </si>
  <si>
    <t>Riesgo de Consumo humano</t>
  </si>
  <si>
    <t>Clasificación IRCA (%)</t>
  </si>
  <si>
    <t>Nivel de riesgo</t>
  </si>
  <si>
    <t>IRCA por muestra (Notificaciones que adelantará la autoridad sanitaria de manaera inmediata)</t>
  </si>
  <si>
    <t>IRCA mensual (Acciones)</t>
  </si>
  <si>
    <t>80.1 - 100</t>
  </si>
  <si>
    <t>INVIABLE SANITARIAMENTE</t>
  </si>
  <si>
    <t>Informar a la persona prestadora, al COVE, Alcalde, Gobernador, SSPD, MPS, INS, MAVDT, Contraloría General y Procuraduría General.</t>
  </si>
  <si>
    <t>Agua no apta para consumo humano, gestión directa de acuerdo a su competencia de la persona prestadora, alcaldes, gobernadores y entidades del orden nacional.</t>
  </si>
  <si>
    <t>35.1-80</t>
  </si>
  <si>
    <t>ALTO</t>
  </si>
  <si>
    <t>Informar a la persona prestadora, COVE, Alcalde, Gobernador y a la SSPD.</t>
  </si>
  <si>
    <t>Agua no apta para consumo humano, gestión directa de acuerdo a su competencia de la persona prestadora y de los alcaldes y gobernadores respectivos.</t>
  </si>
  <si>
    <t>14.1-35</t>
  </si>
  <si>
    <t>MEDIO</t>
  </si>
  <si>
    <t>Informar a la persona prestadora, COVE, Alcalde y Gobernador</t>
  </si>
  <si>
    <t>Agua no apta para consumo humano, gestión directa de la persona prestadora.</t>
  </si>
  <si>
    <t>5.1-14</t>
  </si>
  <si>
    <t>BAJO</t>
  </si>
  <si>
    <t>Informar a la persona prestadora y al COVE.</t>
  </si>
  <si>
    <t>Agua no apta para consumo humano, susceptible de mejoramiento.</t>
  </si>
  <si>
    <t>0-5</t>
  </si>
  <si>
    <t>SIN RIESGO</t>
  </si>
  <si>
    <t>Continuar el control y la vigilancia.</t>
  </si>
  <si>
    <t>Agua apta para consumo humano. Continuar la vigilancia</t>
  </si>
  <si>
    <t>Lat</t>
  </si>
  <si>
    <t>Long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</si>
</sst>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0.0"/>
    <numFmt numFmtId="174" formatCode="0.000000000"/>
  </numFmts>
  <fonts count="2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7"/>
      <color theme="1"/>
      <name val="Times New Roman"/>
      <family val="1"/>
    </font>
    <font>
      <sz val="10"/>
      <color rgb="FF000000"/>
      <name val="Times New Roman"/>
      <family val="1"/>
    </font>
    <font>
      <b/>
      <sz val="6"/>
      <color theme="1"/>
      <name val="Times New Roman"/>
      <family val="1"/>
    </font>
    <font>
      <b/>
      <sz val="6"/>
      <color theme="1"/>
      <name val="Arial"/>
      <family val="2"/>
    </font>
    <font>
      <sz val="6"/>
      <color theme="1"/>
      <name val="Times New Roman"/>
      <family val="1"/>
    </font>
    <font>
      <sz val="6"/>
      <color theme="1"/>
      <name val="Arial"/>
      <family val="2"/>
    </font>
    <font>
      <sz val="6"/>
      <color rgb="FF000000"/>
      <name val="Times New Roman"/>
      <family val="1"/>
    </font>
    <font>
      <sz val="11"/>
      <name val="Calibri"/>
      <family val="2"/>
    </font>
    <font>
      <i/>
      <sz val="6"/>
      <color theme="1"/>
      <name val="Times New Roman"/>
      <family val="1"/>
    </font>
    <font>
      <vertAlign val="superscript"/>
      <sz val="6"/>
      <color theme="1"/>
      <name val="Arial MT"/>
    </font>
    <font>
      <sz val="6"/>
      <color theme="1"/>
      <name val="Arial MT"/>
    </font>
    <font>
      <vertAlign val="subscript"/>
      <sz val="6"/>
      <color theme="1"/>
      <name val="Arial MT"/>
    </font>
    <font>
      <sz val="11"/>
      <color theme="1"/>
      <name val="Verdana"/>
      <family val="2"/>
    </font>
    <font>
      <i/>
      <sz val="11"/>
      <color theme="1"/>
      <name val="Verdana"/>
      <family val="2"/>
    </font>
    <font>
      <vertAlign val="superscript"/>
      <sz val="11"/>
      <color theme="1"/>
      <name val="Verdana"/>
      <family val="2"/>
    </font>
    <font>
      <vertAlign val="subscript"/>
      <sz val="11"/>
      <color theme="1"/>
      <name val="Verdana"/>
      <family val="2"/>
    </font>
    <font>
      <sz val="11"/>
      <color rgb="FF000000"/>
      <name val="Verdana"/>
      <family val="2"/>
    </font>
    <font>
      <sz val="10"/>
      <color rgb="FF333333"/>
      <name val="Verdana"/>
      <family val="2"/>
    </font>
    <font>
      <b/>
      <sz val="10"/>
      <color rgb="FF333333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rgb="FFDDD9C4"/>
        <bgColor rgb="FFDDD9C4"/>
      </patternFill>
    </fill>
    <fill>
      <patternFill patternType="solid">
        <fgColor rgb="FFFCD5B4"/>
        <bgColor rgb="FFFCD5B4"/>
      </patternFill>
    </fill>
    <fill>
      <patternFill patternType="solid">
        <fgColor rgb="FFFFFFFF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 applyFont="1" applyAlignment="1"/>
    <xf numFmtId="0" fontId="3" fillId="0" borderId="2" xfId="0" applyFont="1" applyBorder="1" applyAlignment="1">
      <alignment vertical="top" wrapText="1"/>
    </xf>
    <xf numFmtId="0" fontId="4" fillId="2" borderId="3" xfId="0" applyFont="1" applyFill="1" applyBorder="1" applyAlignment="1">
      <alignment horizontal="center" vertical="top" wrapText="1"/>
    </xf>
    <xf numFmtId="0" fontId="5" fillId="2" borderId="3" xfId="0" applyFont="1" applyFill="1" applyBorder="1" applyAlignment="1">
      <alignment horizontal="center" vertical="top" wrapText="1"/>
    </xf>
    <xf numFmtId="0" fontId="2" fillId="2" borderId="3" xfId="0" applyFont="1" applyFill="1" applyBorder="1" applyAlignment="1">
      <alignment horizontal="center" vertical="top" wrapText="1"/>
    </xf>
    <xf numFmtId="0" fontId="2" fillId="2" borderId="4" xfId="0" applyFont="1" applyFill="1" applyBorder="1" applyAlignment="1">
      <alignment horizontal="center" vertical="top" wrapText="1"/>
    </xf>
    <xf numFmtId="0" fontId="3" fillId="0" borderId="1" xfId="0" applyFont="1" applyBorder="1" applyAlignment="1">
      <alignment vertical="top" wrapText="1"/>
    </xf>
    <xf numFmtId="0" fontId="6" fillId="0" borderId="3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center" vertical="top" wrapText="1"/>
    </xf>
    <xf numFmtId="0" fontId="7" fillId="0" borderId="3" xfId="0" applyFont="1" applyBorder="1" applyAlignment="1">
      <alignment horizontal="center" vertical="top" wrapText="1"/>
    </xf>
    <xf numFmtId="164" fontId="8" fillId="0" borderId="3" xfId="0" applyNumberFormat="1" applyFont="1" applyBorder="1" applyAlignment="1">
      <alignment horizontal="center" vertical="top" shrinkToFit="1"/>
    </xf>
    <xf numFmtId="2" fontId="8" fillId="0" borderId="5" xfId="0" applyNumberFormat="1" applyFont="1" applyBorder="1" applyAlignment="1">
      <alignment horizontal="center" vertical="top" shrinkToFit="1"/>
    </xf>
    <xf numFmtId="0" fontId="7" fillId="0" borderId="3" xfId="0" applyFont="1" applyBorder="1" applyAlignment="1">
      <alignment horizontal="left" vertical="top" wrapText="1"/>
    </xf>
    <xf numFmtId="1" fontId="8" fillId="0" borderId="5" xfId="0" applyNumberFormat="1" applyFont="1" applyBorder="1" applyAlignment="1">
      <alignment horizontal="center" vertical="top" shrinkToFit="1"/>
    </xf>
    <xf numFmtId="165" fontId="8" fillId="0" borderId="5" xfId="0" applyNumberFormat="1" applyFont="1" applyBorder="1" applyAlignment="1">
      <alignment horizontal="center" vertical="top" shrinkToFit="1"/>
    </xf>
    <xf numFmtId="0" fontId="6" fillId="0" borderId="5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4" fillId="3" borderId="3" xfId="0" applyFont="1" applyFill="1" applyBorder="1" applyAlignment="1">
      <alignment horizontal="center" vertical="top" wrapText="1"/>
    </xf>
    <xf numFmtId="0" fontId="5" fillId="3" borderId="3" xfId="0" applyFont="1" applyFill="1" applyBorder="1" applyAlignment="1">
      <alignment horizontal="center" vertical="top" wrapText="1"/>
    </xf>
    <xf numFmtId="0" fontId="2" fillId="3" borderId="3" xfId="0" applyFont="1" applyFill="1" applyBorder="1" applyAlignment="1">
      <alignment horizontal="center" vertical="top" wrapText="1"/>
    </xf>
    <xf numFmtId="0" fontId="2" fillId="3" borderId="4" xfId="0" applyFont="1" applyFill="1" applyBorder="1" applyAlignment="1">
      <alignment horizontal="center" vertical="top" wrapText="1"/>
    </xf>
    <xf numFmtId="0" fontId="3" fillId="0" borderId="6" xfId="0" applyFont="1" applyBorder="1" applyAlignment="1">
      <alignment vertical="top" wrapText="1"/>
    </xf>
    <xf numFmtId="0" fontId="6" fillId="0" borderId="7" xfId="0" applyFont="1" applyBorder="1" applyAlignment="1">
      <alignment horizontal="left" vertical="top" wrapText="1"/>
    </xf>
    <xf numFmtId="0" fontId="10" fillId="0" borderId="3" xfId="0" applyFont="1" applyBorder="1" applyAlignment="1">
      <alignment horizontal="left" vertical="top" wrapText="1"/>
    </xf>
    <xf numFmtId="0" fontId="4" fillId="2" borderId="8" xfId="0" applyFont="1" applyFill="1" applyBorder="1" applyAlignment="1">
      <alignment horizontal="center" vertical="top" wrapText="1"/>
    </xf>
    <xf numFmtId="0" fontId="4" fillId="2" borderId="9" xfId="0" applyFont="1" applyFill="1" applyBorder="1" applyAlignment="1">
      <alignment horizontal="center" vertical="top" wrapText="1"/>
    </xf>
    <xf numFmtId="0" fontId="2" fillId="2" borderId="9" xfId="0" applyFont="1" applyFill="1" applyBorder="1" applyAlignment="1">
      <alignment horizontal="center" vertical="top" wrapText="1"/>
    </xf>
    <xf numFmtId="0" fontId="5" fillId="2" borderId="9" xfId="0" applyFont="1" applyFill="1" applyBorder="1" applyAlignment="1">
      <alignment horizontal="center" vertical="top" wrapText="1"/>
    </xf>
    <xf numFmtId="0" fontId="2" fillId="2" borderId="10" xfId="0" applyFont="1" applyFill="1" applyBorder="1" applyAlignment="1">
      <alignment horizontal="center" vertical="top" wrapText="1"/>
    </xf>
    <xf numFmtId="0" fontId="7" fillId="0" borderId="7" xfId="0" applyFont="1" applyBorder="1" applyAlignment="1">
      <alignment horizontal="left" vertical="top" wrapText="1"/>
    </xf>
    <xf numFmtId="0" fontId="0" fillId="0" borderId="0" xfId="0" applyFont="1" applyAlignment="1"/>
    <xf numFmtId="0" fontId="2" fillId="0" borderId="1" xfId="0" applyFont="1" applyBorder="1" applyAlignment="1">
      <alignment horizontal="center" vertical="top" wrapText="1"/>
    </xf>
    <xf numFmtId="0" fontId="0" fillId="0" borderId="0" xfId="0" applyFont="1" applyAlignment="1"/>
    <xf numFmtId="0" fontId="9" fillId="0" borderId="6" xfId="0" applyFont="1" applyBorder="1"/>
    <xf numFmtId="0" fontId="2" fillId="0" borderId="0" xfId="0" applyFont="1" applyAlignment="1">
      <alignment horizontal="center" vertical="top" wrapText="1"/>
    </xf>
    <xf numFmtId="0" fontId="14" fillId="0" borderId="11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2" fontId="18" fillId="0" borderId="12" xfId="0" applyNumberFormat="1" applyFont="1" applyBorder="1" applyAlignment="1">
      <alignment horizontal="center" vertical="center" shrinkToFit="1"/>
    </xf>
    <xf numFmtId="1" fontId="18" fillId="0" borderId="5" xfId="0" applyNumberFormat="1" applyFont="1" applyBorder="1" applyAlignment="1">
      <alignment horizontal="center" vertical="center" shrinkToFit="1"/>
    </xf>
    <xf numFmtId="2" fontId="18" fillId="0" borderId="5" xfId="0" applyNumberFormat="1" applyFont="1" applyBorder="1" applyAlignment="1">
      <alignment horizontal="center" vertical="center" shrinkToFit="1"/>
    </xf>
    <xf numFmtId="165" fontId="18" fillId="0" borderId="5" xfId="0" applyNumberFormat="1" applyFont="1" applyBorder="1" applyAlignment="1">
      <alignment horizontal="center" vertical="center" shrinkToFit="1"/>
    </xf>
    <xf numFmtId="0" fontId="14" fillId="0" borderId="5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1" fontId="18" fillId="0" borderId="12" xfId="0" applyNumberFormat="1" applyFont="1" applyBorder="1" applyAlignment="1">
      <alignment horizontal="center" vertical="center" shrinkToFit="1"/>
    </xf>
    <xf numFmtId="0" fontId="14" fillId="0" borderId="11" xfId="0" applyFont="1" applyBorder="1" applyAlignment="1">
      <alignment horizontal="center" vertical="center" wrapText="1"/>
    </xf>
    <xf numFmtId="0" fontId="19" fillId="4" borderId="3" xfId="0" applyFont="1" applyFill="1" applyBorder="1" applyAlignment="1">
      <alignment horizontal="center" vertical="center" wrapText="1"/>
    </xf>
    <xf numFmtId="0" fontId="19" fillId="4" borderId="11" xfId="0" applyFont="1" applyFill="1" applyBorder="1" applyAlignment="1">
      <alignment horizontal="center" vertical="center" wrapText="1"/>
    </xf>
    <xf numFmtId="2" fontId="18" fillId="0" borderId="11" xfId="0" applyNumberFormat="1" applyFont="1" applyBorder="1" applyAlignment="1">
      <alignment horizontal="center" vertical="center" shrinkToFit="1"/>
    </xf>
    <xf numFmtId="1" fontId="18" fillId="0" borderId="11" xfId="0" applyNumberFormat="1" applyFont="1" applyBorder="1" applyAlignment="1">
      <alignment horizontal="center" vertical="center" shrinkToFit="1"/>
    </xf>
    <xf numFmtId="165" fontId="18" fillId="0" borderId="11" xfId="0" applyNumberFormat="1" applyFont="1" applyBorder="1" applyAlignment="1">
      <alignment horizontal="center" vertical="center" shrinkToFit="1"/>
    </xf>
    <xf numFmtId="0" fontId="15" fillId="0" borderId="11" xfId="0" applyFont="1" applyBorder="1" applyAlignment="1">
      <alignment horizontal="center" vertical="center" wrapText="1"/>
    </xf>
    <xf numFmtId="0" fontId="14" fillId="0" borderId="14" xfId="0" applyFont="1" applyFill="1" applyBorder="1" applyAlignment="1">
      <alignment horizontal="center" vertical="center" wrapText="1"/>
    </xf>
    <xf numFmtId="2" fontId="14" fillId="0" borderId="11" xfId="0" applyNumberFormat="1" applyFont="1" applyBorder="1" applyAlignment="1">
      <alignment horizontal="center" vertical="center" wrapText="1"/>
    </xf>
    <xf numFmtId="0" fontId="19" fillId="4" borderId="13" xfId="0" applyFont="1" applyFill="1" applyBorder="1" applyAlignment="1">
      <alignment horizontal="center" vertical="center" wrapText="1"/>
    </xf>
    <xf numFmtId="0" fontId="19" fillId="4" borderId="15" xfId="0" applyFont="1" applyFill="1" applyBorder="1" applyAlignment="1">
      <alignment horizontal="center" vertical="center" wrapText="1"/>
    </xf>
    <xf numFmtId="0" fontId="19" fillId="4" borderId="9" xfId="0" applyFont="1" applyFill="1" applyBorder="1" applyAlignment="1">
      <alignment horizontal="center" vertical="center" wrapText="1"/>
    </xf>
    <xf numFmtId="0" fontId="19" fillId="4" borderId="16" xfId="0" applyFont="1" applyFill="1" applyBorder="1" applyAlignment="1">
      <alignment horizontal="center" vertical="center" wrapText="1"/>
    </xf>
    <xf numFmtId="0" fontId="20" fillId="4" borderId="11" xfId="0" applyFont="1" applyFill="1" applyBorder="1" applyAlignment="1">
      <alignment horizontal="center" vertical="center" wrapText="1"/>
    </xf>
    <xf numFmtId="0" fontId="1" fillId="0" borderId="11" xfId="0" applyFont="1" applyBorder="1" applyAlignment="1"/>
    <xf numFmtId="174" fontId="0" fillId="0" borderId="11" xfId="0" applyNumberFormat="1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378035</xdr:colOff>
      <xdr:row>11</xdr:row>
      <xdr:rowOff>77932</xdr:rowOff>
    </xdr:from>
    <xdr:to>
      <xdr:col>11</xdr:col>
      <xdr:colOff>333365</xdr:colOff>
      <xdr:row>28</xdr:row>
      <xdr:rowOff>197595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27417B4-DCBC-40AD-3383-3612C8CAF3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38012" y="3758046"/>
          <a:ext cx="4527330" cy="5462322"/>
        </a:xfrm>
        <a:prstGeom prst="rect">
          <a:avLst/>
        </a:prstGeom>
      </xdr:spPr>
    </xdr:pic>
    <xdr:clientData/>
  </xdr:twoCellAnchor>
  <xdr:twoCellAnchor editAs="oneCell">
    <xdr:from>
      <xdr:col>11</xdr:col>
      <xdr:colOff>290188</xdr:colOff>
      <xdr:row>11</xdr:row>
      <xdr:rowOff>155864</xdr:rowOff>
    </xdr:from>
    <xdr:to>
      <xdr:col>17</xdr:col>
      <xdr:colOff>229403</xdr:colOff>
      <xdr:row>23</xdr:row>
      <xdr:rowOff>82039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38F992D-BC9A-95A7-441B-BF5EF039E5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222165" y="3835978"/>
          <a:ext cx="4511215" cy="3614947"/>
        </a:xfrm>
        <a:prstGeom prst="rect">
          <a:avLst/>
        </a:prstGeom>
      </xdr:spPr>
    </xdr:pic>
    <xdr:clientData/>
  </xdr:twoCellAnchor>
  <xdr:twoCellAnchor editAs="oneCell">
    <xdr:from>
      <xdr:col>11</xdr:col>
      <xdr:colOff>389659</xdr:colOff>
      <xdr:row>23</xdr:row>
      <xdr:rowOff>95249</xdr:rowOff>
    </xdr:from>
    <xdr:to>
      <xdr:col>17</xdr:col>
      <xdr:colOff>145769</xdr:colOff>
      <xdr:row>25</xdr:row>
      <xdr:rowOff>285749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E827796-3600-6016-D402-C89CF8BF26A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t="47770"/>
        <a:stretch/>
      </xdr:blipFill>
      <xdr:spPr>
        <a:xfrm>
          <a:off x="10321636" y="7464135"/>
          <a:ext cx="4328110" cy="926523"/>
        </a:xfrm>
        <a:prstGeom prst="rect">
          <a:avLst/>
        </a:prstGeom>
      </xdr:spPr>
    </xdr:pic>
    <xdr:clientData/>
  </xdr:twoCellAnchor>
  <xdr:twoCellAnchor editAs="oneCell">
    <xdr:from>
      <xdr:col>11</xdr:col>
      <xdr:colOff>372341</xdr:colOff>
      <xdr:row>25</xdr:row>
      <xdr:rowOff>355025</xdr:rowOff>
    </xdr:from>
    <xdr:to>
      <xdr:col>17</xdr:col>
      <xdr:colOff>95250</xdr:colOff>
      <xdr:row>28</xdr:row>
      <xdr:rowOff>112076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64888E25-E303-2C68-6B82-6E1EAD50B9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304318" y="8459934"/>
          <a:ext cx="4294909" cy="6749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209550</xdr:colOff>
      <xdr:row>1</xdr:row>
      <xdr:rowOff>171450</xdr:rowOff>
    </xdr:from>
    <xdr:ext cx="4772025" cy="2876550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AAAF8-63AD-423B-AE80-DE7514B01EF1}">
  <dimension ref="A1:C4"/>
  <sheetViews>
    <sheetView workbookViewId="0">
      <selection activeCell="C9" sqref="C9"/>
    </sheetView>
  </sheetViews>
  <sheetFormatPr baseColWidth="10" defaultRowHeight="15"/>
  <cols>
    <col min="1" max="1" width="19" customWidth="1"/>
    <col min="2" max="2" width="12.28515625" bestFit="1" customWidth="1"/>
    <col min="3" max="3" width="13.28515625" bestFit="1" customWidth="1"/>
  </cols>
  <sheetData>
    <row r="1" spans="1:3">
      <c r="A1" s="60" t="s">
        <v>111</v>
      </c>
      <c r="B1" s="60" t="s">
        <v>194</v>
      </c>
      <c r="C1" s="60" t="s">
        <v>195</v>
      </c>
    </row>
    <row r="2" spans="1:3">
      <c r="A2" s="35" t="s">
        <v>109</v>
      </c>
      <c r="B2" s="61">
        <f>-(4+11/60+31/3600)</f>
        <v>-4.1919444444444443</v>
      </c>
      <c r="C2" s="61">
        <f>-(69+56/60+23/3600)</f>
        <v>-69.93972222222223</v>
      </c>
    </row>
    <row r="3" spans="1:3">
      <c r="A3" s="35" t="s">
        <v>110</v>
      </c>
      <c r="B3" s="61">
        <v>-4.2701900000000004</v>
      </c>
      <c r="C3" s="61">
        <v>-69.948582000000002</v>
      </c>
    </row>
    <row r="4" spans="1:3">
      <c r="A4" s="35" t="s">
        <v>161</v>
      </c>
      <c r="B4" s="61">
        <v>-4.2175294640604601</v>
      </c>
      <c r="C4" s="61">
        <v>-69.940377202643504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B36D2-5B30-4C2B-B163-6C7E84A77A7F}">
  <dimension ref="A1:AA5"/>
  <sheetViews>
    <sheetView tabSelected="1" zoomScale="110" zoomScaleNormal="110" workbookViewId="0">
      <selection activeCell="D15" sqref="D15"/>
    </sheetView>
  </sheetViews>
  <sheetFormatPr baseColWidth="10" defaultRowHeight="15"/>
  <cols>
    <col min="1" max="1" width="16.7109375" bestFit="1" customWidth="1"/>
    <col min="2" max="2" width="8.85546875" style="30" customWidth="1"/>
  </cols>
  <sheetData>
    <row r="1" spans="1:27" ht="57">
      <c r="A1" s="35" t="s">
        <v>111</v>
      </c>
      <c r="B1" s="35" t="s">
        <v>166</v>
      </c>
      <c r="C1" s="36" t="s">
        <v>6</v>
      </c>
      <c r="D1" s="37" t="s">
        <v>9</v>
      </c>
      <c r="E1" s="37" t="s">
        <v>12</v>
      </c>
      <c r="F1" s="37" t="s">
        <v>14</v>
      </c>
      <c r="G1" s="37" t="s">
        <v>17</v>
      </c>
      <c r="H1" s="37" t="s">
        <v>20</v>
      </c>
      <c r="I1" s="37" t="s">
        <v>23</v>
      </c>
      <c r="J1" s="37" t="s">
        <v>26</v>
      </c>
      <c r="K1" s="37" t="s">
        <v>30</v>
      </c>
      <c r="L1" s="37" t="s">
        <v>33</v>
      </c>
      <c r="M1" s="37" t="s">
        <v>35</v>
      </c>
      <c r="N1" s="37" t="s">
        <v>37</v>
      </c>
      <c r="O1" s="37" t="s">
        <v>41</v>
      </c>
      <c r="P1" s="37" t="s">
        <v>44</v>
      </c>
      <c r="Q1" s="37" t="s">
        <v>48</v>
      </c>
      <c r="R1" s="37" t="s">
        <v>50</v>
      </c>
      <c r="S1" s="37" t="s">
        <v>53</v>
      </c>
      <c r="T1" s="37" t="s">
        <v>55</v>
      </c>
      <c r="U1" s="37" t="s">
        <v>57</v>
      </c>
      <c r="V1" s="37" t="s">
        <v>60</v>
      </c>
      <c r="W1" s="37" t="s">
        <v>62</v>
      </c>
      <c r="X1" s="37" t="s">
        <v>64</v>
      </c>
      <c r="Y1" s="37" t="s">
        <v>67</v>
      </c>
      <c r="Z1" s="36" t="s">
        <v>85</v>
      </c>
      <c r="AA1" s="38" t="s">
        <v>89</v>
      </c>
    </row>
    <row r="2" spans="1:27" ht="31.5">
      <c r="A2" s="35" t="s">
        <v>2</v>
      </c>
      <c r="B2" s="35" t="s">
        <v>168</v>
      </c>
      <c r="C2" s="36" t="s">
        <v>7</v>
      </c>
      <c r="D2" s="37" t="s">
        <v>10</v>
      </c>
      <c r="E2" s="37" t="s">
        <v>2</v>
      </c>
      <c r="F2" s="37" t="s">
        <v>113</v>
      </c>
      <c r="G2" s="37" t="s">
        <v>114</v>
      </c>
      <c r="H2" s="37" t="s">
        <v>114</v>
      </c>
      <c r="I2" s="37" t="s">
        <v>114</v>
      </c>
      <c r="J2" s="37" t="s">
        <v>114</v>
      </c>
      <c r="K2" s="37" t="s">
        <v>114</v>
      </c>
      <c r="L2" s="37" t="s">
        <v>34</v>
      </c>
      <c r="M2" s="37" t="s">
        <v>36</v>
      </c>
      <c r="N2" s="37" t="s">
        <v>115</v>
      </c>
      <c r="O2" s="37" t="s">
        <v>116</v>
      </c>
      <c r="P2" s="37" t="s">
        <v>45</v>
      </c>
      <c r="Q2" s="37" t="s">
        <v>49</v>
      </c>
      <c r="R2" s="37" t="s">
        <v>117</v>
      </c>
      <c r="S2" s="37" t="s">
        <v>118</v>
      </c>
      <c r="T2" s="37" t="s">
        <v>119</v>
      </c>
      <c r="U2" s="37" t="s">
        <v>120</v>
      </c>
      <c r="V2" s="37" t="s">
        <v>121</v>
      </c>
      <c r="W2" s="37" t="s">
        <v>122</v>
      </c>
      <c r="X2" s="37" t="s">
        <v>65</v>
      </c>
      <c r="Y2" s="37" t="s">
        <v>65</v>
      </c>
      <c r="Z2" s="37" t="s">
        <v>86</v>
      </c>
      <c r="AA2" s="37" t="s">
        <v>86</v>
      </c>
    </row>
    <row r="3" spans="1:27">
      <c r="A3" s="35" t="s">
        <v>109</v>
      </c>
      <c r="B3" s="35" t="s">
        <v>167</v>
      </c>
      <c r="C3" s="39">
        <v>1.74</v>
      </c>
      <c r="D3" s="40">
        <v>10</v>
      </c>
      <c r="E3" s="41">
        <v>6.15</v>
      </c>
      <c r="F3" s="42">
        <v>39.4</v>
      </c>
      <c r="G3" s="40">
        <v>18</v>
      </c>
      <c r="H3" s="40">
        <v>6</v>
      </c>
      <c r="I3" s="40">
        <v>10</v>
      </c>
      <c r="J3" s="43" t="s">
        <v>29</v>
      </c>
      <c r="K3" s="40">
        <v>8</v>
      </c>
      <c r="L3" s="40">
        <v>1</v>
      </c>
      <c r="M3" s="40">
        <v>2</v>
      </c>
      <c r="N3" s="43" t="s">
        <v>40</v>
      </c>
      <c r="O3" s="43" t="s">
        <v>43</v>
      </c>
      <c r="P3" s="43" t="s">
        <v>47</v>
      </c>
      <c r="Q3" s="43" t="s">
        <v>43</v>
      </c>
      <c r="R3" s="41">
        <v>0.03</v>
      </c>
      <c r="S3" s="43" t="s">
        <v>40</v>
      </c>
      <c r="T3" s="42">
        <v>0.8</v>
      </c>
      <c r="U3" s="42">
        <v>0.2</v>
      </c>
      <c r="V3" s="42">
        <v>0.2</v>
      </c>
      <c r="W3" s="42">
        <v>0.3</v>
      </c>
      <c r="X3" s="40">
        <v>53</v>
      </c>
      <c r="Y3" s="43" t="s">
        <v>29</v>
      </c>
      <c r="Z3" s="44" t="s">
        <v>112</v>
      </c>
      <c r="AA3" s="44"/>
    </row>
    <row r="4" spans="1:27" ht="15.75">
      <c r="A4" s="35" t="s">
        <v>110</v>
      </c>
      <c r="B4" s="35" t="s">
        <v>167</v>
      </c>
      <c r="C4" s="45">
        <v>512</v>
      </c>
      <c r="D4" s="43" t="s">
        <v>70</v>
      </c>
      <c r="E4" s="41">
        <v>7.84</v>
      </c>
      <c r="F4" s="42">
        <v>168.9</v>
      </c>
      <c r="G4" s="40">
        <v>73</v>
      </c>
      <c r="H4" s="43" t="s">
        <v>29</v>
      </c>
      <c r="I4" s="40">
        <v>80</v>
      </c>
      <c r="J4" s="40">
        <v>60</v>
      </c>
      <c r="K4" s="40">
        <v>20</v>
      </c>
      <c r="L4" s="40">
        <v>24</v>
      </c>
      <c r="M4" s="40">
        <v>5</v>
      </c>
      <c r="N4" s="42">
        <v>4.5999999999999996</v>
      </c>
      <c r="O4" s="41">
        <v>0.35</v>
      </c>
      <c r="P4" s="41">
        <v>4.16</v>
      </c>
      <c r="Q4" s="43" t="s">
        <v>43</v>
      </c>
      <c r="R4" s="42">
        <v>0.1</v>
      </c>
      <c r="S4" s="43" t="s">
        <v>40</v>
      </c>
      <c r="T4" s="42">
        <v>1.6</v>
      </c>
      <c r="U4" s="42">
        <v>5.3</v>
      </c>
      <c r="V4" s="42">
        <v>13</v>
      </c>
      <c r="W4" s="42">
        <v>0.3</v>
      </c>
      <c r="X4" s="40">
        <v>754</v>
      </c>
      <c r="Y4" s="40">
        <v>605</v>
      </c>
      <c r="Z4" s="43" t="s">
        <v>123</v>
      </c>
      <c r="AA4" s="43" t="s">
        <v>124</v>
      </c>
    </row>
    <row r="5" spans="1:27">
      <c r="A5" s="35" t="s">
        <v>161</v>
      </c>
      <c r="B5" s="35" t="s">
        <v>167</v>
      </c>
      <c r="C5" s="39">
        <v>0.96</v>
      </c>
      <c r="D5" s="40">
        <v>9</v>
      </c>
      <c r="E5" s="41">
        <v>5.35</v>
      </c>
      <c r="F5" s="42">
        <v>69</v>
      </c>
      <c r="G5" s="40">
        <v>6</v>
      </c>
      <c r="H5" s="40">
        <v>16</v>
      </c>
      <c r="I5" s="40">
        <v>7</v>
      </c>
      <c r="J5" s="43" t="s">
        <v>29</v>
      </c>
      <c r="K5" s="40">
        <v>7</v>
      </c>
      <c r="L5" s="40">
        <v>0</v>
      </c>
      <c r="M5" s="40">
        <v>2</v>
      </c>
      <c r="N5" s="43" t="s">
        <v>40</v>
      </c>
      <c r="O5" s="41">
        <v>0.05</v>
      </c>
      <c r="P5" s="43" t="s">
        <v>47</v>
      </c>
      <c r="Q5" s="43" t="s">
        <v>43</v>
      </c>
      <c r="R5" s="43" t="s">
        <v>101</v>
      </c>
      <c r="S5" s="43" t="s">
        <v>40</v>
      </c>
      <c r="T5" s="42">
        <v>19.2</v>
      </c>
      <c r="U5" s="42">
        <v>15</v>
      </c>
      <c r="V5" s="42">
        <v>0.5</v>
      </c>
      <c r="W5" s="43" t="s">
        <v>107</v>
      </c>
      <c r="X5" s="40">
        <v>54</v>
      </c>
      <c r="Y5" s="43" t="s">
        <v>29</v>
      </c>
      <c r="Z5" s="43" t="s">
        <v>108</v>
      </c>
      <c r="AA5" s="37" t="s">
        <v>108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B4661-3EE7-48A3-91D7-78240DBD288C}">
  <dimension ref="A1:E29"/>
  <sheetViews>
    <sheetView zoomScale="110" zoomScaleNormal="110" workbookViewId="0">
      <selection activeCell="C28" sqref="C28:E28"/>
    </sheetView>
  </sheetViews>
  <sheetFormatPr baseColWidth="10" defaultRowHeight="15"/>
  <cols>
    <col min="1" max="1" width="22.5703125" style="30" bestFit="1" customWidth="1"/>
    <col min="2" max="2" width="11.42578125" style="30"/>
    <col min="3" max="3" width="10.85546875" style="30" bestFit="1" customWidth="1"/>
    <col min="4" max="4" width="16.7109375" style="30" bestFit="1" customWidth="1"/>
    <col min="5" max="5" width="18.7109375" style="30" customWidth="1"/>
    <col min="6" max="16384" width="11.42578125" style="30"/>
  </cols>
  <sheetData>
    <row r="1" spans="1:5" ht="28.5">
      <c r="A1" s="35" t="s">
        <v>111</v>
      </c>
      <c r="B1" s="46" t="s">
        <v>2</v>
      </c>
      <c r="C1" s="46" t="s">
        <v>163</v>
      </c>
      <c r="D1" s="46" t="s">
        <v>164</v>
      </c>
      <c r="E1" s="46" t="s">
        <v>165</v>
      </c>
    </row>
    <row r="2" spans="1:5">
      <c r="A2" s="35" t="s">
        <v>166</v>
      </c>
      <c r="B2" s="46" t="s">
        <v>168</v>
      </c>
      <c r="C2" s="46" t="s">
        <v>167</v>
      </c>
      <c r="D2" s="46" t="s">
        <v>167</v>
      </c>
      <c r="E2" s="46" t="s">
        <v>167</v>
      </c>
    </row>
    <row r="3" spans="1:5" ht="44.25" customHeight="1">
      <c r="A3" s="46" t="s">
        <v>6</v>
      </c>
      <c r="B3" s="46" t="s">
        <v>7</v>
      </c>
      <c r="C3" s="49">
        <v>1.74</v>
      </c>
      <c r="D3" s="50">
        <v>512</v>
      </c>
      <c r="E3" s="49">
        <v>0.96</v>
      </c>
    </row>
    <row r="4" spans="1:5">
      <c r="A4" s="46" t="s">
        <v>9</v>
      </c>
      <c r="B4" s="46" t="s">
        <v>10</v>
      </c>
      <c r="C4" s="50">
        <v>10</v>
      </c>
      <c r="D4" s="46">
        <v>100</v>
      </c>
      <c r="E4" s="50">
        <v>9</v>
      </c>
    </row>
    <row r="5" spans="1:5">
      <c r="A5" s="46" t="s">
        <v>12</v>
      </c>
      <c r="B5" s="46" t="s">
        <v>2</v>
      </c>
      <c r="C5" s="49">
        <v>6.15</v>
      </c>
      <c r="D5" s="49">
        <v>7.84</v>
      </c>
      <c r="E5" s="49">
        <v>5.35</v>
      </c>
    </row>
    <row r="6" spans="1:5" ht="30">
      <c r="A6" s="46" t="s">
        <v>14</v>
      </c>
      <c r="B6" s="46" t="s">
        <v>113</v>
      </c>
      <c r="C6" s="51">
        <v>39.4</v>
      </c>
      <c r="D6" s="51">
        <v>168.9</v>
      </c>
      <c r="E6" s="51">
        <v>69</v>
      </c>
    </row>
    <row r="7" spans="1:5" ht="31.5">
      <c r="A7" s="46" t="s">
        <v>17</v>
      </c>
      <c r="B7" s="46" t="s">
        <v>114</v>
      </c>
      <c r="C7" s="50">
        <v>18</v>
      </c>
      <c r="D7" s="50">
        <v>73</v>
      </c>
      <c r="E7" s="50">
        <v>6</v>
      </c>
    </row>
    <row r="8" spans="1:5" ht="31.5">
      <c r="A8" s="46" t="s">
        <v>20</v>
      </c>
      <c r="B8" s="46" t="s">
        <v>114</v>
      </c>
      <c r="C8" s="50">
        <v>6</v>
      </c>
      <c r="D8" s="46">
        <v>2.5</v>
      </c>
      <c r="E8" s="50">
        <v>16</v>
      </c>
    </row>
    <row r="9" spans="1:5" ht="31.5">
      <c r="A9" s="46" t="s">
        <v>23</v>
      </c>
      <c r="B9" s="46" t="s">
        <v>114</v>
      </c>
      <c r="C9" s="50">
        <v>10</v>
      </c>
      <c r="D9" s="50">
        <v>80</v>
      </c>
      <c r="E9" s="50">
        <v>7</v>
      </c>
    </row>
    <row r="10" spans="1:5" ht="31.5">
      <c r="A10" s="46" t="s">
        <v>26</v>
      </c>
      <c r="B10" s="46" t="s">
        <v>114</v>
      </c>
      <c r="C10" s="46">
        <v>2.5</v>
      </c>
      <c r="D10" s="50">
        <v>60</v>
      </c>
      <c r="E10" s="46">
        <v>2.5</v>
      </c>
    </row>
    <row r="11" spans="1:5" ht="31.5">
      <c r="A11" s="46" t="s">
        <v>30</v>
      </c>
      <c r="B11" s="46" t="s">
        <v>114</v>
      </c>
      <c r="C11" s="50">
        <v>8</v>
      </c>
      <c r="D11" s="50">
        <v>20</v>
      </c>
      <c r="E11" s="50">
        <v>7</v>
      </c>
    </row>
    <row r="12" spans="1:5">
      <c r="A12" s="46" t="s">
        <v>33</v>
      </c>
      <c r="B12" s="46" t="s">
        <v>34</v>
      </c>
      <c r="C12" s="50">
        <v>1</v>
      </c>
      <c r="D12" s="50">
        <v>24</v>
      </c>
      <c r="E12" s="50">
        <v>0</v>
      </c>
    </row>
    <row r="13" spans="1:5">
      <c r="A13" s="46" t="s">
        <v>35</v>
      </c>
      <c r="B13" s="46" t="s">
        <v>36</v>
      </c>
      <c r="C13" s="50">
        <v>2</v>
      </c>
      <c r="D13" s="50">
        <v>5</v>
      </c>
      <c r="E13" s="50">
        <v>2</v>
      </c>
    </row>
    <row r="14" spans="1:5" ht="30">
      <c r="A14" s="46" t="s">
        <v>37</v>
      </c>
      <c r="B14" s="46" t="s">
        <v>115</v>
      </c>
      <c r="C14" s="46">
        <v>0.05</v>
      </c>
      <c r="D14" s="51">
        <v>4.5999999999999996</v>
      </c>
      <c r="E14" s="46">
        <v>0.05</v>
      </c>
    </row>
    <row r="15" spans="1:5" ht="30">
      <c r="A15" s="46" t="s">
        <v>41</v>
      </c>
      <c r="B15" s="46" t="s">
        <v>116</v>
      </c>
      <c r="C15" s="46">
        <v>2.5000000000000001E-2</v>
      </c>
      <c r="D15" s="49">
        <v>0.35</v>
      </c>
      <c r="E15" s="49">
        <v>0.05</v>
      </c>
    </row>
    <row r="16" spans="1:5" ht="28.5">
      <c r="A16" s="46" t="s">
        <v>44</v>
      </c>
      <c r="B16" s="46" t="s">
        <v>45</v>
      </c>
      <c r="C16" s="46">
        <v>0.5</v>
      </c>
      <c r="D16" s="49">
        <v>4.16</v>
      </c>
      <c r="E16" s="46">
        <v>0.5</v>
      </c>
    </row>
    <row r="17" spans="1:5">
      <c r="A17" s="46" t="s">
        <v>48</v>
      </c>
      <c r="B17" s="46" t="s">
        <v>49</v>
      </c>
      <c r="C17" s="46">
        <v>2.5000000000000001E-2</v>
      </c>
      <c r="D17" s="46">
        <v>2.5000000000000001E-2</v>
      </c>
      <c r="E17" s="46">
        <v>2.5000000000000001E-2</v>
      </c>
    </row>
    <row r="18" spans="1:5" ht="15.75">
      <c r="A18" s="46" t="s">
        <v>50</v>
      </c>
      <c r="B18" s="46" t="s">
        <v>117</v>
      </c>
      <c r="C18" s="49">
        <v>0.03</v>
      </c>
      <c r="D18" s="51">
        <v>0.1</v>
      </c>
      <c r="E18" s="46">
        <v>0.01</v>
      </c>
    </row>
    <row r="19" spans="1:5" ht="31.5">
      <c r="A19" s="46" t="s">
        <v>53</v>
      </c>
      <c r="B19" s="46" t="s">
        <v>118</v>
      </c>
      <c r="C19" s="46">
        <v>0.05</v>
      </c>
      <c r="D19" s="46">
        <v>0.05</v>
      </c>
      <c r="E19" s="46">
        <v>0.05</v>
      </c>
    </row>
    <row r="20" spans="1:5" ht="31.5">
      <c r="A20" s="46" t="s">
        <v>55</v>
      </c>
      <c r="B20" s="46" t="s">
        <v>119</v>
      </c>
      <c r="C20" s="51">
        <v>0.8</v>
      </c>
      <c r="D20" s="51">
        <v>1.6</v>
      </c>
      <c r="E20" s="51">
        <v>19.2</v>
      </c>
    </row>
    <row r="21" spans="1:5" ht="15.75">
      <c r="A21" s="46" t="s">
        <v>57</v>
      </c>
      <c r="B21" s="46" t="s">
        <v>120</v>
      </c>
      <c r="C21" s="51">
        <v>0.2</v>
      </c>
      <c r="D21" s="51">
        <v>5.3</v>
      </c>
      <c r="E21" s="51">
        <v>15</v>
      </c>
    </row>
    <row r="22" spans="1:5" ht="31.5">
      <c r="A22" s="46" t="s">
        <v>60</v>
      </c>
      <c r="B22" s="46" t="s">
        <v>121</v>
      </c>
      <c r="C22" s="51">
        <v>0.2</v>
      </c>
      <c r="D22" s="51">
        <v>13</v>
      </c>
      <c r="E22" s="51">
        <v>0.5</v>
      </c>
    </row>
    <row r="23" spans="1:5" ht="31.5">
      <c r="A23" s="46" t="s">
        <v>62</v>
      </c>
      <c r="B23" s="46" t="s">
        <v>122</v>
      </c>
      <c r="C23" s="51">
        <v>0.3</v>
      </c>
      <c r="D23" s="51">
        <v>0.3</v>
      </c>
      <c r="E23" s="46">
        <v>0.1</v>
      </c>
    </row>
    <row r="24" spans="1:5">
      <c r="A24" s="46" t="s">
        <v>64</v>
      </c>
      <c r="B24" s="46" t="s">
        <v>65</v>
      </c>
      <c r="C24" s="50">
        <v>53</v>
      </c>
      <c r="D24" s="50">
        <v>754</v>
      </c>
      <c r="E24" s="50">
        <v>54</v>
      </c>
    </row>
    <row r="25" spans="1:5" ht="42.75">
      <c r="A25" s="46" t="s">
        <v>67</v>
      </c>
      <c r="B25" s="46" t="s">
        <v>65</v>
      </c>
      <c r="C25" s="46">
        <v>2.5</v>
      </c>
      <c r="D25" s="50">
        <v>605</v>
      </c>
      <c r="E25" s="46">
        <v>2.5</v>
      </c>
    </row>
    <row r="26" spans="1:5" ht="28.5">
      <c r="A26" s="46" t="s">
        <v>85</v>
      </c>
      <c r="B26" s="46" t="s">
        <v>86</v>
      </c>
      <c r="C26" s="35" t="s">
        <v>112</v>
      </c>
      <c r="D26" s="46">
        <f>1.7*10^3</f>
        <v>1700</v>
      </c>
      <c r="E26" s="46">
        <v>9</v>
      </c>
    </row>
    <row r="27" spans="1:5" ht="28.5">
      <c r="A27" s="52" t="s">
        <v>89</v>
      </c>
      <c r="B27" s="46" t="s">
        <v>86</v>
      </c>
      <c r="C27" s="35" t="s">
        <v>112</v>
      </c>
      <c r="D27" s="46">
        <f>1.1*10^3</f>
        <v>1100</v>
      </c>
      <c r="E27" s="46">
        <v>9</v>
      </c>
    </row>
    <row r="28" spans="1:5">
      <c r="A28" s="46" t="s">
        <v>162</v>
      </c>
      <c r="B28" s="46" t="s">
        <v>112</v>
      </c>
      <c r="C28" s="54">
        <f>(IF(C$3&lt;2,0,15)+IF(C$4&lt;15,0,6)+IF(AND(C$5&gt;=6.5,C$5&lt;=9),0,1.5)+IF(C$7&lt;200,0,1)+IF(C$9&lt;300,0,1)+IF(C$12&lt;60,0,1)+IF(C$13&lt;36,0,1)+IF(C$14&lt;0.3,0,1.5)+IF(C$15&lt;0.1,0,1)+IF(C$16&lt;5,0,3)+IF(C$17&lt;3,0,1)+IF(C$18&lt;1,0,1)+IF(C$19&lt;0.1,0,1)+IF(C$20&lt;10,0,3)+IF(C$21&lt;250,0,1)+IF(C$22&lt;250,0,1)+IF(C$23&lt;0.5,0,1))/41.5*100</f>
        <v>3.6144578313253009</v>
      </c>
      <c r="D28" s="54">
        <f>(IF(D$3&lt;2,0,15)+IF(D$4&lt;15,0,6)+IF(AND(D$5&gt;=6.5,D$5&lt;=9),0,1.5)+IF(D$7&lt;200,0,1)+IF(D$9&lt;300,0,1)+IF(D$12&lt;60,0,1)+IF(D$13&lt;36,0,1)+IF(D$14&lt;0.3,0,1.5)+IF(D$15&lt;0.1,0,1)+IF(D$16&lt;5,0,3)+IF(D$17&lt;3,0,1)+IF(D$18&lt;1,0,1)+IF(D$19&lt;0.1,0,1)+IF(D$20&lt;10,0,3)+IF(D$21&lt;250,0,1)+IF(D$22&lt;250,0,1)+IF(D$23&lt;0.5,0,1)+IF(D$26&lt;0,0,15)+IF(D$27&lt;0,0,25)/81*100)</f>
        <v>69.364197530864203</v>
      </c>
      <c r="E28" s="54">
        <f>(IF(E$3&lt;2,0,15)+IF(E$4&lt;15,0,6)+IF(AND(E$5&gt;=6.5,E$5&lt;=9),0,1.5)+IF(E$7&lt;200,0,1)+IF(E$9&lt;300,0,1)+IF(E$12&lt;60,0,1)+IF(E$13&lt;36,0,1)+IF(E$14&lt;0.3,0,1.5)+IF(E$15&lt;0.1,0,1)+IF(E$16&lt;5,0,3)+IF(E$17&lt;3,0,1)+IF(E$18&lt;1,0,1)+IF(E$19&lt;0.1,0,1)+IF(E$20&lt;10,0,3)+IF(E$21&lt;250,0,1)+IF(E$22&lt;250,0,1)+IF(E$23&lt;0.5,0,1)+IF(E$26&lt;0,0,15)+IF(E$27&lt;0,0,25)/81*100)</f>
        <v>50.364197530864196</v>
      </c>
    </row>
    <row r="29" spans="1:5" ht="28.5">
      <c r="A29" s="53" t="s">
        <v>169</v>
      </c>
      <c r="B29" s="53" t="s">
        <v>112</v>
      </c>
      <c r="C29" s="46" t="str">
        <f>IF(C28&lt;=5,"Sin Riesgo",IF(C28&lt;=14,"Bajo",IF(C28&lt;=35,"Medio",IF(C28&lt;=80,"Alto","Inviable Sanitariamente"))))</f>
        <v>Sin Riesgo</v>
      </c>
      <c r="D29" s="46" t="str">
        <f>IF(D28&lt;=5,"Sin Riesgo",IF(D28&lt;=14,"Bajo",IF(D28&lt;=35,"Medio",IF(D28&lt;=80,"Alto","Inviable Sanitariamente"))))</f>
        <v>Alto</v>
      </c>
      <c r="E29" s="46" t="str">
        <f>IF(E28&lt;=5,"Sin Riesgo",IF(E28&lt;=14,"Bajo",IF(E28&lt;=35,"Medio",IF(E28&lt;=80,"Alto","Inviable Sanitariamente"))))</f>
        <v>Alto</v>
      </c>
    </row>
  </sheetData>
  <pageMargins left="0.7" right="0.7" top="0.75" bottom="0.75" header="0.3" footer="0.3"/>
  <pageSetup orientation="portrait" horizontalDpi="4294967295" verticalDpi="4294967295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7DE4C-6D61-4E38-842F-A578B80208A2}">
  <dimension ref="B2:M32"/>
  <sheetViews>
    <sheetView workbookViewId="0">
      <selection activeCell="G1" sqref="G1"/>
    </sheetView>
  </sheetViews>
  <sheetFormatPr baseColWidth="10" defaultColWidth="11" defaultRowHeight="14.25"/>
  <cols>
    <col min="1" max="1" width="11" style="44"/>
    <col min="2" max="2" width="14.140625" style="44" customWidth="1"/>
    <col min="3" max="4" width="11" style="44"/>
    <col min="5" max="5" width="15.28515625" style="44" customWidth="1"/>
    <col min="6" max="6" width="24.140625" style="44" customWidth="1"/>
    <col min="7" max="7" width="15.140625" style="44" customWidth="1"/>
    <col min="8" max="9" width="11" style="44"/>
    <col min="10" max="13" width="22" style="44" customWidth="1"/>
    <col min="14" max="16384" width="11" style="44"/>
  </cols>
  <sheetData>
    <row r="2" spans="2:7" ht="28.5" customHeight="1">
      <c r="B2" s="47" t="s">
        <v>125</v>
      </c>
      <c r="C2" s="47" t="s">
        <v>126</v>
      </c>
      <c r="E2" s="48" t="s">
        <v>136</v>
      </c>
      <c r="F2" s="48" t="s">
        <v>137</v>
      </c>
      <c r="G2" s="48" t="s">
        <v>138</v>
      </c>
    </row>
    <row r="3" spans="2:7" ht="28.5" customHeight="1">
      <c r="B3" s="47" t="s">
        <v>127</v>
      </c>
      <c r="C3" s="47">
        <v>6</v>
      </c>
      <c r="E3" s="48" t="s">
        <v>127</v>
      </c>
      <c r="F3" s="48" t="s">
        <v>139</v>
      </c>
      <c r="G3" s="48">
        <v>15</v>
      </c>
    </row>
    <row r="4" spans="2:7" ht="28.5" customHeight="1">
      <c r="B4" s="55" t="s">
        <v>6</v>
      </c>
      <c r="C4" s="55">
        <v>15</v>
      </c>
      <c r="E4" s="56" t="s">
        <v>140</v>
      </c>
      <c r="F4" s="56" t="s">
        <v>141</v>
      </c>
      <c r="G4" s="56">
        <v>2</v>
      </c>
    </row>
    <row r="5" spans="2:7" ht="28.5" customHeight="1">
      <c r="B5" s="35" t="s">
        <v>129</v>
      </c>
      <c r="C5" s="35">
        <v>1</v>
      </c>
      <c r="E5" s="35" t="s">
        <v>129</v>
      </c>
      <c r="F5" s="35" t="s">
        <v>148</v>
      </c>
      <c r="G5" s="35">
        <v>60</v>
      </c>
    </row>
    <row r="6" spans="2:7" ht="28.5" customHeight="1">
      <c r="B6" s="57" t="s">
        <v>128</v>
      </c>
      <c r="C6" s="57">
        <v>1</v>
      </c>
      <c r="E6" s="58" t="s">
        <v>17</v>
      </c>
      <c r="F6" s="58" t="s">
        <v>149</v>
      </c>
      <c r="G6" s="58">
        <v>200</v>
      </c>
    </row>
    <row r="7" spans="2:7" ht="28.5" customHeight="1">
      <c r="B7" s="47" t="s">
        <v>130</v>
      </c>
      <c r="C7" s="47">
        <v>1</v>
      </c>
      <c r="E7" s="48" t="s">
        <v>130</v>
      </c>
      <c r="F7" s="48" t="s">
        <v>157</v>
      </c>
      <c r="G7" s="48">
        <v>0.5</v>
      </c>
    </row>
    <row r="8" spans="2:7">
      <c r="B8" s="47" t="s">
        <v>41</v>
      </c>
      <c r="C8" s="47">
        <v>1</v>
      </c>
      <c r="E8" s="48" t="s">
        <v>41</v>
      </c>
      <c r="F8" s="48" t="s">
        <v>154</v>
      </c>
      <c r="G8" s="48">
        <v>0.1</v>
      </c>
    </row>
    <row r="9" spans="2:7">
      <c r="B9" s="47" t="s">
        <v>35</v>
      </c>
      <c r="C9" s="47">
        <v>1</v>
      </c>
      <c r="E9" s="48" t="s">
        <v>35</v>
      </c>
      <c r="F9" s="48" t="s">
        <v>153</v>
      </c>
      <c r="G9" s="48">
        <v>36</v>
      </c>
    </row>
    <row r="10" spans="2:7">
      <c r="B10" s="47" t="s">
        <v>48</v>
      </c>
      <c r="C10" s="47">
        <v>1</v>
      </c>
      <c r="E10" s="48" t="s">
        <v>48</v>
      </c>
      <c r="F10" s="48" t="s">
        <v>156</v>
      </c>
      <c r="G10" s="48">
        <v>3</v>
      </c>
    </row>
    <row r="11" spans="2:7">
      <c r="B11" s="47" t="s">
        <v>23</v>
      </c>
      <c r="C11" s="47">
        <v>1</v>
      </c>
      <c r="E11" s="48" t="s">
        <v>23</v>
      </c>
      <c r="F11" s="48" t="s">
        <v>151</v>
      </c>
      <c r="G11" s="48">
        <v>300</v>
      </c>
    </row>
    <row r="12" spans="2:7">
      <c r="B12" s="47" t="s">
        <v>60</v>
      </c>
      <c r="C12" s="47">
        <v>1</v>
      </c>
      <c r="E12" s="48" t="s">
        <v>60</v>
      </c>
      <c r="F12" s="48" t="s">
        <v>155</v>
      </c>
      <c r="G12" s="48">
        <v>250</v>
      </c>
    </row>
    <row r="13" spans="2:7">
      <c r="B13" s="47" t="s">
        <v>131</v>
      </c>
      <c r="C13" s="47">
        <v>1.5</v>
      </c>
      <c r="E13" s="48" t="s">
        <v>131</v>
      </c>
      <c r="F13" s="48" t="s">
        <v>152</v>
      </c>
      <c r="G13" s="48">
        <v>0.3</v>
      </c>
    </row>
    <row r="14" spans="2:7">
      <c r="B14" s="47" t="s">
        <v>57</v>
      </c>
      <c r="C14" s="47">
        <v>1</v>
      </c>
      <c r="E14" s="48" t="s">
        <v>57</v>
      </c>
      <c r="F14" s="48" t="s">
        <v>150</v>
      </c>
      <c r="G14" s="48">
        <v>250</v>
      </c>
    </row>
    <row r="15" spans="2:7">
      <c r="B15" s="47" t="s">
        <v>55</v>
      </c>
      <c r="C15" s="47">
        <v>1</v>
      </c>
      <c r="E15" s="48" t="s">
        <v>145</v>
      </c>
      <c r="F15" s="48" t="s">
        <v>146</v>
      </c>
      <c r="G15" s="48">
        <v>10</v>
      </c>
    </row>
    <row r="16" spans="2:7">
      <c r="B16" s="47" t="s">
        <v>53</v>
      </c>
      <c r="C16" s="47">
        <v>3</v>
      </c>
      <c r="E16" s="48" t="s">
        <v>143</v>
      </c>
      <c r="F16" s="48" t="s">
        <v>144</v>
      </c>
      <c r="G16" s="48">
        <v>0.1</v>
      </c>
    </row>
    <row r="17" spans="2:13">
      <c r="B17" s="47" t="s">
        <v>50</v>
      </c>
      <c r="C17" s="47">
        <v>1</v>
      </c>
      <c r="E17" s="48" t="s">
        <v>50</v>
      </c>
      <c r="F17" s="48" t="s">
        <v>147</v>
      </c>
      <c r="G17" s="48">
        <v>1</v>
      </c>
    </row>
    <row r="18" spans="2:13" ht="25.5">
      <c r="B18" s="47" t="s">
        <v>132</v>
      </c>
      <c r="C18" s="47">
        <v>3</v>
      </c>
      <c r="E18" s="48" t="s">
        <v>142</v>
      </c>
      <c r="F18" s="48" t="s">
        <v>132</v>
      </c>
      <c r="G18" s="48">
        <v>5</v>
      </c>
    </row>
    <row r="19" spans="2:13" ht="25.5">
      <c r="B19" s="47" t="s">
        <v>133</v>
      </c>
      <c r="C19" s="47">
        <v>15</v>
      </c>
      <c r="E19" s="48" t="s">
        <v>133</v>
      </c>
      <c r="F19" s="35" t="s">
        <v>160</v>
      </c>
      <c r="G19" s="35">
        <v>0</v>
      </c>
    </row>
    <row r="20" spans="2:13" ht="25.5">
      <c r="B20" s="47" t="s">
        <v>134</v>
      </c>
      <c r="C20" s="47">
        <v>25</v>
      </c>
      <c r="E20" s="48" t="s">
        <v>134</v>
      </c>
      <c r="F20" s="35" t="s">
        <v>160</v>
      </c>
      <c r="G20" s="35">
        <v>0</v>
      </c>
    </row>
    <row r="21" spans="2:13">
      <c r="B21" s="47" t="s">
        <v>12</v>
      </c>
      <c r="C21" s="47">
        <v>1.5</v>
      </c>
      <c r="E21" s="35" t="s">
        <v>158</v>
      </c>
      <c r="F21" s="35" t="s">
        <v>112</v>
      </c>
      <c r="G21" s="35" t="s">
        <v>159</v>
      </c>
    </row>
    <row r="23" spans="2:13" ht="38.25">
      <c r="B23" s="47" t="s">
        <v>135</v>
      </c>
      <c r="C23" s="47">
        <v>100</v>
      </c>
    </row>
    <row r="27" spans="2:13" ht="76.5">
      <c r="J27" s="59" t="s">
        <v>170</v>
      </c>
      <c r="K27" s="59" t="s">
        <v>171</v>
      </c>
      <c r="L27" s="59" t="s">
        <v>172</v>
      </c>
      <c r="M27" s="59" t="s">
        <v>173</v>
      </c>
    </row>
    <row r="28" spans="2:13" ht="127.5">
      <c r="J28" s="48" t="s">
        <v>174</v>
      </c>
      <c r="K28" s="48" t="s">
        <v>175</v>
      </c>
      <c r="L28" s="48" t="s">
        <v>176</v>
      </c>
      <c r="M28" s="48" t="s">
        <v>177</v>
      </c>
    </row>
    <row r="29" spans="2:13" ht="114.75">
      <c r="J29" s="48" t="s">
        <v>178</v>
      </c>
      <c r="K29" s="48" t="s">
        <v>179</v>
      </c>
      <c r="L29" s="48" t="s">
        <v>180</v>
      </c>
      <c r="M29" s="48" t="s">
        <v>181</v>
      </c>
    </row>
    <row r="30" spans="2:13" ht="51">
      <c r="J30" s="48" t="s">
        <v>182</v>
      </c>
      <c r="K30" s="48" t="s">
        <v>183</v>
      </c>
      <c r="L30" s="48" t="s">
        <v>184</v>
      </c>
      <c r="M30" s="48" t="s">
        <v>185</v>
      </c>
    </row>
    <row r="31" spans="2:13" ht="51">
      <c r="J31" s="48" t="s">
        <v>186</v>
      </c>
      <c r="K31" s="48" t="s">
        <v>187</v>
      </c>
      <c r="L31" s="48" t="s">
        <v>188</v>
      </c>
      <c r="M31" s="48" t="s">
        <v>189</v>
      </c>
    </row>
    <row r="32" spans="2:13" ht="38.25">
      <c r="J32" s="48" t="s">
        <v>190</v>
      </c>
      <c r="K32" s="48" t="s">
        <v>191</v>
      </c>
      <c r="L32" s="48" t="s">
        <v>192</v>
      </c>
      <c r="M32" s="48" t="s">
        <v>193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1000"/>
  <sheetViews>
    <sheetView zoomScale="145" zoomScaleNormal="145" workbookViewId="0">
      <selection activeCell="B35" sqref="B35"/>
    </sheetView>
  </sheetViews>
  <sheetFormatPr baseColWidth="10" defaultColWidth="14.42578125" defaultRowHeight="15" customHeight="1"/>
  <cols>
    <col min="1" max="26" width="10.7109375" customWidth="1"/>
  </cols>
  <sheetData>
    <row r="1" spans="2:8" ht="14.25" customHeight="1"/>
    <row r="2" spans="2:8" ht="14.25" customHeight="1">
      <c r="B2" s="31" t="s">
        <v>0</v>
      </c>
      <c r="C2" s="32"/>
      <c r="D2" s="32"/>
      <c r="E2" s="32"/>
      <c r="F2" s="32"/>
      <c r="G2" s="32"/>
      <c r="H2" s="32"/>
    </row>
    <row r="3" spans="2:8" ht="14.25" customHeight="1">
      <c r="B3" s="1"/>
      <c r="C3" s="2" t="s">
        <v>1</v>
      </c>
      <c r="D3" s="3" t="s">
        <v>2</v>
      </c>
      <c r="E3" s="4" t="s">
        <v>3</v>
      </c>
      <c r="F3" s="3" t="s">
        <v>4</v>
      </c>
      <c r="G3" s="5" t="s">
        <v>5</v>
      </c>
      <c r="H3" s="6"/>
    </row>
    <row r="4" spans="2:8" ht="14.25" customHeight="1">
      <c r="B4" s="1"/>
      <c r="C4" s="7" t="s">
        <v>6</v>
      </c>
      <c r="D4" s="8" t="s">
        <v>7</v>
      </c>
      <c r="E4" s="9" t="s">
        <v>8</v>
      </c>
      <c r="F4" s="10">
        <v>46051</v>
      </c>
      <c r="G4" s="11">
        <v>1.74</v>
      </c>
      <c r="H4" s="6"/>
    </row>
    <row r="5" spans="2:8" ht="14.25" customHeight="1">
      <c r="B5" s="1"/>
      <c r="C5" s="12" t="s">
        <v>9</v>
      </c>
      <c r="D5" s="9" t="s">
        <v>10</v>
      </c>
      <c r="E5" s="9" t="s">
        <v>11</v>
      </c>
      <c r="F5" s="10">
        <v>46051</v>
      </c>
      <c r="G5" s="13">
        <v>10</v>
      </c>
      <c r="H5" s="6"/>
    </row>
    <row r="6" spans="2:8" ht="14.25" customHeight="1">
      <c r="B6" s="1"/>
      <c r="C6" s="12" t="s">
        <v>12</v>
      </c>
      <c r="D6" s="9" t="s">
        <v>2</v>
      </c>
      <c r="E6" s="9" t="s">
        <v>13</v>
      </c>
      <c r="F6" s="10">
        <v>46051</v>
      </c>
      <c r="G6" s="11">
        <v>6.15</v>
      </c>
      <c r="H6" s="6"/>
    </row>
    <row r="7" spans="2:8" ht="14.25" customHeight="1">
      <c r="B7" s="1"/>
      <c r="C7" s="12" t="s">
        <v>14</v>
      </c>
      <c r="D7" s="9" t="s">
        <v>15</v>
      </c>
      <c r="E7" s="9" t="s">
        <v>16</v>
      </c>
      <c r="F7" s="10">
        <v>46051</v>
      </c>
      <c r="G7" s="14">
        <v>39.4</v>
      </c>
      <c r="H7" s="6"/>
    </row>
    <row r="8" spans="2:8" ht="14.25" customHeight="1">
      <c r="B8" s="1"/>
      <c r="C8" s="12" t="s">
        <v>17</v>
      </c>
      <c r="D8" s="9" t="s">
        <v>18</v>
      </c>
      <c r="E8" s="9" t="s">
        <v>19</v>
      </c>
      <c r="F8" s="10">
        <v>46051</v>
      </c>
      <c r="G8" s="13">
        <v>18</v>
      </c>
      <c r="H8" s="6"/>
    </row>
    <row r="9" spans="2:8" ht="14.25" customHeight="1">
      <c r="B9" s="1"/>
      <c r="C9" s="12" t="s">
        <v>20</v>
      </c>
      <c r="D9" s="9" t="s">
        <v>21</v>
      </c>
      <c r="E9" s="9" t="s">
        <v>22</v>
      </c>
      <c r="F9" s="10">
        <v>46051</v>
      </c>
      <c r="G9" s="13">
        <v>6</v>
      </c>
      <c r="H9" s="6"/>
    </row>
    <row r="10" spans="2:8" ht="14.25" customHeight="1">
      <c r="B10" s="1"/>
      <c r="C10" s="12" t="s">
        <v>23</v>
      </c>
      <c r="D10" s="9" t="s">
        <v>24</v>
      </c>
      <c r="E10" s="9" t="s">
        <v>25</v>
      </c>
      <c r="F10" s="10">
        <v>46057</v>
      </c>
      <c r="G10" s="13">
        <v>10</v>
      </c>
      <c r="H10" s="6"/>
    </row>
    <row r="11" spans="2:8" ht="14.25" customHeight="1">
      <c r="B11" s="1"/>
      <c r="C11" s="12" t="s">
        <v>26</v>
      </c>
      <c r="D11" s="9" t="s">
        <v>27</v>
      </c>
      <c r="E11" s="9" t="s">
        <v>28</v>
      </c>
      <c r="F11" s="10">
        <v>46057</v>
      </c>
      <c r="G11" s="15" t="s">
        <v>29</v>
      </c>
      <c r="H11" s="6"/>
    </row>
    <row r="12" spans="2:8" ht="14.25" customHeight="1">
      <c r="B12" s="1"/>
      <c r="C12" s="12" t="s">
        <v>30</v>
      </c>
      <c r="D12" s="9" t="s">
        <v>31</v>
      </c>
      <c r="E12" s="9" t="s">
        <v>32</v>
      </c>
      <c r="F12" s="10">
        <v>46057</v>
      </c>
      <c r="G12" s="13">
        <v>8</v>
      </c>
      <c r="H12" s="6"/>
    </row>
    <row r="13" spans="2:8" ht="14.25" customHeight="1">
      <c r="B13" s="1"/>
      <c r="C13" s="12" t="s">
        <v>33</v>
      </c>
      <c r="D13" s="9" t="s">
        <v>34</v>
      </c>
      <c r="E13" s="9" t="s">
        <v>28</v>
      </c>
      <c r="F13" s="10">
        <v>46057</v>
      </c>
      <c r="G13" s="13">
        <v>1</v>
      </c>
      <c r="H13" s="6"/>
    </row>
    <row r="14" spans="2:8" ht="14.25" customHeight="1">
      <c r="B14" s="1"/>
      <c r="C14" s="12" t="s">
        <v>35</v>
      </c>
      <c r="D14" s="9" t="s">
        <v>36</v>
      </c>
      <c r="E14" s="9" t="s">
        <v>32</v>
      </c>
      <c r="F14" s="10">
        <v>46057</v>
      </c>
      <c r="G14" s="13">
        <v>2</v>
      </c>
      <c r="H14" s="6"/>
    </row>
    <row r="15" spans="2:8" ht="14.25" customHeight="1">
      <c r="B15" s="1"/>
      <c r="C15" s="12" t="s">
        <v>37</v>
      </c>
      <c r="D15" s="9" t="s">
        <v>38</v>
      </c>
      <c r="E15" s="9" t="s">
        <v>39</v>
      </c>
      <c r="F15" s="10">
        <v>46063</v>
      </c>
      <c r="G15" s="16" t="s">
        <v>40</v>
      </c>
      <c r="H15" s="6"/>
    </row>
    <row r="16" spans="2:8" ht="14.25" customHeight="1">
      <c r="B16" s="1"/>
      <c r="C16" s="12" t="s">
        <v>41</v>
      </c>
      <c r="D16" s="9" t="s">
        <v>42</v>
      </c>
      <c r="E16" s="9" t="s">
        <v>39</v>
      </c>
      <c r="F16" s="10">
        <v>46063</v>
      </c>
      <c r="G16" s="16" t="s">
        <v>43</v>
      </c>
      <c r="H16" s="6"/>
    </row>
    <row r="17" spans="2:8" ht="14.25" customHeight="1">
      <c r="B17" s="1"/>
      <c r="C17" s="12" t="s">
        <v>44</v>
      </c>
      <c r="D17" s="9" t="s">
        <v>45</v>
      </c>
      <c r="E17" s="9" t="s">
        <v>46</v>
      </c>
      <c r="F17" s="10">
        <v>46063</v>
      </c>
      <c r="G17" s="16" t="s">
        <v>47</v>
      </c>
      <c r="H17" s="6"/>
    </row>
    <row r="18" spans="2:8" ht="14.25" customHeight="1">
      <c r="B18" s="1"/>
      <c r="C18" s="12" t="s">
        <v>48</v>
      </c>
      <c r="D18" s="9" t="s">
        <v>49</v>
      </c>
      <c r="E18" s="9" t="s">
        <v>39</v>
      </c>
      <c r="F18" s="10">
        <v>46057</v>
      </c>
      <c r="G18" s="16" t="s">
        <v>43</v>
      </c>
      <c r="H18" s="6"/>
    </row>
    <row r="19" spans="2:8" ht="14.25" customHeight="1">
      <c r="B19" s="1"/>
      <c r="C19" s="12" t="s">
        <v>50</v>
      </c>
      <c r="D19" s="9" t="s">
        <v>51</v>
      </c>
      <c r="E19" s="9" t="s">
        <v>52</v>
      </c>
      <c r="F19" s="10">
        <v>46052</v>
      </c>
      <c r="G19" s="11">
        <v>0.03</v>
      </c>
      <c r="H19" s="6"/>
    </row>
    <row r="20" spans="2:8" ht="14.25" customHeight="1">
      <c r="B20" s="1"/>
      <c r="C20" s="12" t="s">
        <v>53</v>
      </c>
      <c r="D20" s="9" t="s">
        <v>54</v>
      </c>
      <c r="E20" s="9" t="s">
        <v>52</v>
      </c>
      <c r="F20" s="10">
        <v>46052</v>
      </c>
      <c r="G20" s="16" t="s">
        <v>40</v>
      </c>
      <c r="H20" s="6"/>
    </row>
    <row r="21" spans="2:8" ht="14.25" customHeight="1">
      <c r="B21" s="1"/>
      <c r="C21" s="12" t="s">
        <v>55</v>
      </c>
      <c r="D21" s="9" t="s">
        <v>56</v>
      </c>
      <c r="E21" s="9" t="s">
        <v>52</v>
      </c>
      <c r="F21" s="10">
        <v>46052</v>
      </c>
      <c r="G21" s="14">
        <v>0.8</v>
      </c>
      <c r="H21" s="6"/>
    </row>
    <row r="22" spans="2:8" ht="14.25" customHeight="1">
      <c r="B22" s="1"/>
      <c r="C22" s="12" t="s">
        <v>57</v>
      </c>
      <c r="D22" s="9" t="s">
        <v>58</v>
      </c>
      <c r="E22" s="9" t="s">
        <v>59</v>
      </c>
      <c r="F22" s="10">
        <v>46052</v>
      </c>
      <c r="G22" s="14">
        <v>0.2</v>
      </c>
      <c r="H22" s="6"/>
    </row>
    <row r="23" spans="2:8" ht="14.25" customHeight="1">
      <c r="B23" s="1"/>
      <c r="C23" s="12" t="s">
        <v>60</v>
      </c>
      <c r="D23" s="9" t="s">
        <v>61</v>
      </c>
      <c r="E23" s="9" t="s">
        <v>59</v>
      </c>
      <c r="F23" s="10">
        <v>46052</v>
      </c>
      <c r="G23" s="14">
        <v>0.2</v>
      </c>
      <c r="H23" s="6"/>
    </row>
    <row r="24" spans="2:8" ht="14.25" customHeight="1">
      <c r="B24" s="1"/>
      <c r="C24" s="12" t="s">
        <v>62</v>
      </c>
      <c r="D24" s="9" t="s">
        <v>63</v>
      </c>
      <c r="E24" s="9" t="s">
        <v>52</v>
      </c>
      <c r="F24" s="10">
        <v>46052</v>
      </c>
      <c r="G24" s="14">
        <v>0.3</v>
      </c>
      <c r="H24" s="6"/>
    </row>
    <row r="25" spans="2:8" ht="14.25" customHeight="1">
      <c r="B25" s="1"/>
      <c r="C25" s="12" t="s">
        <v>64</v>
      </c>
      <c r="D25" s="9" t="s">
        <v>65</v>
      </c>
      <c r="E25" s="9" t="s">
        <v>66</v>
      </c>
      <c r="F25" s="10">
        <v>46052</v>
      </c>
      <c r="G25" s="13">
        <v>53</v>
      </c>
      <c r="H25" s="6"/>
    </row>
    <row r="26" spans="2:8" ht="14.25" customHeight="1">
      <c r="B26" s="1"/>
      <c r="C26" s="12" t="s">
        <v>67</v>
      </c>
      <c r="D26" s="9" t="s">
        <v>65</v>
      </c>
      <c r="E26" s="9" t="s">
        <v>68</v>
      </c>
      <c r="F26" s="10">
        <v>46052</v>
      </c>
      <c r="G26" s="16" t="s">
        <v>29</v>
      </c>
      <c r="H26" s="6"/>
    </row>
    <row r="27" spans="2:8" ht="14.25" customHeight="1"/>
    <row r="28" spans="2:8" ht="14.25" customHeight="1">
      <c r="B28" s="31" t="s">
        <v>69</v>
      </c>
      <c r="C28" s="32"/>
      <c r="D28" s="32"/>
      <c r="E28" s="32"/>
      <c r="F28" s="32"/>
      <c r="G28" s="32"/>
      <c r="H28" s="33"/>
    </row>
    <row r="29" spans="2:8" ht="14.25" customHeight="1">
      <c r="B29" s="1"/>
      <c r="C29" s="17" t="s">
        <v>1</v>
      </c>
      <c r="D29" s="18" t="s">
        <v>2</v>
      </c>
      <c r="E29" s="19" t="s">
        <v>3</v>
      </c>
      <c r="F29" s="18" t="s">
        <v>4</v>
      </c>
      <c r="G29" s="20" t="s">
        <v>5</v>
      </c>
      <c r="H29" s="6"/>
    </row>
    <row r="30" spans="2:8" ht="14.25" customHeight="1">
      <c r="B30" s="1"/>
      <c r="C30" s="7" t="s">
        <v>6</v>
      </c>
      <c r="D30" s="8" t="s">
        <v>7</v>
      </c>
      <c r="E30" s="9" t="s">
        <v>8</v>
      </c>
      <c r="F30" s="10">
        <v>46051</v>
      </c>
      <c r="G30" s="13">
        <v>512</v>
      </c>
      <c r="H30" s="6"/>
    </row>
    <row r="31" spans="2:8" ht="14.25" customHeight="1">
      <c r="B31" s="1"/>
      <c r="C31" s="12" t="s">
        <v>9</v>
      </c>
      <c r="D31" s="9" t="s">
        <v>10</v>
      </c>
      <c r="E31" s="9" t="s">
        <v>11</v>
      </c>
      <c r="F31" s="10">
        <v>46051</v>
      </c>
      <c r="G31" s="15" t="s">
        <v>70</v>
      </c>
      <c r="H31" s="6"/>
    </row>
    <row r="32" spans="2:8" ht="14.25" customHeight="1">
      <c r="B32" s="1"/>
      <c r="C32" s="12" t="s">
        <v>12</v>
      </c>
      <c r="D32" s="9" t="s">
        <v>2</v>
      </c>
      <c r="E32" s="9" t="s">
        <v>13</v>
      </c>
      <c r="F32" s="10">
        <v>46051</v>
      </c>
      <c r="G32" s="11">
        <v>7.84</v>
      </c>
      <c r="H32" s="6"/>
    </row>
    <row r="33" spans="2:8" ht="14.25" customHeight="1">
      <c r="B33" s="1"/>
      <c r="C33" s="12" t="s">
        <v>14</v>
      </c>
      <c r="D33" s="9" t="s">
        <v>71</v>
      </c>
      <c r="E33" s="9" t="s">
        <v>16</v>
      </c>
      <c r="F33" s="10">
        <v>46051</v>
      </c>
      <c r="G33" s="14">
        <v>168.9</v>
      </c>
      <c r="H33" s="6"/>
    </row>
    <row r="34" spans="2:8" ht="14.25" customHeight="1">
      <c r="B34" s="1"/>
      <c r="C34" s="12" t="s">
        <v>17</v>
      </c>
      <c r="D34" s="9" t="s">
        <v>72</v>
      </c>
      <c r="E34" s="9" t="s">
        <v>19</v>
      </c>
      <c r="F34" s="10">
        <v>46051</v>
      </c>
      <c r="G34" s="13">
        <v>73</v>
      </c>
      <c r="H34" s="6"/>
    </row>
    <row r="35" spans="2:8" ht="14.25" customHeight="1">
      <c r="B35" s="1"/>
      <c r="C35" s="12" t="s">
        <v>20</v>
      </c>
      <c r="D35" s="9" t="s">
        <v>73</v>
      </c>
      <c r="E35" s="9" t="s">
        <v>22</v>
      </c>
      <c r="F35" s="10">
        <v>46051</v>
      </c>
      <c r="G35" s="16" t="s">
        <v>29</v>
      </c>
      <c r="H35" s="6"/>
    </row>
    <row r="36" spans="2:8" ht="14.25" customHeight="1">
      <c r="B36" s="1"/>
      <c r="C36" s="12" t="s">
        <v>23</v>
      </c>
      <c r="D36" s="9" t="s">
        <v>74</v>
      </c>
      <c r="E36" s="9" t="s">
        <v>25</v>
      </c>
      <c r="F36" s="10">
        <v>46057</v>
      </c>
      <c r="G36" s="13">
        <v>80</v>
      </c>
      <c r="H36" s="6"/>
    </row>
    <row r="37" spans="2:8" ht="14.25" customHeight="1">
      <c r="B37" s="1"/>
      <c r="C37" s="12" t="s">
        <v>26</v>
      </c>
      <c r="D37" s="9" t="s">
        <v>75</v>
      </c>
      <c r="E37" s="9" t="s">
        <v>28</v>
      </c>
      <c r="F37" s="10">
        <v>46057</v>
      </c>
      <c r="G37" s="13">
        <v>60</v>
      </c>
      <c r="H37" s="6"/>
    </row>
    <row r="38" spans="2:8" ht="14.25" customHeight="1">
      <c r="B38" s="1"/>
      <c r="C38" s="12" t="s">
        <v>30</v>
      </c>
      <c r="D38" s="9" t="s">
        <v>76</v>
      </c>
      <c r="E38" s="9" t="s">
        <v>32</v>
      </c>
      <c r="F38" s="10">
        <v>46057</v>
      </c>
      <c r="G38" s="13">
        <v>20</v>
      </c>
      <c r="H38" s="6"/>
    </row>
    <row r="39" spans="2:8" ht="14.25" customHeight="1">
      <c r="B39" s="1"/>
      <c r="C39" s="12" t="s">
        <v>33</v>
      </c>
      <c r="D39" s="9" t="s">
        <v>34</v>
      </c>
      <c r="E39" s="9" t="s">
        <v>28</v>
      </c>
      <c r="F39" s="10">
        <v>46057</v>
      </c>
      <c r="G39" s="13">
        <v>24</v>
      </c>
      <c r="H39" s="6"/>
    </row>
    <row r="40" spans="2:8" ht="14.25" customHeight="1">
      <c r="B40" s="21"/>
      <c r="C40" s="22" t="s">
        <v>35</v>
      </c>
      <c r="D40" s="9" t="s">
        <v>36</v>
      </c>
      <c r="E40" s="9" t="s">
        <v>32</v>
      </c>
      <c r="F40" s="10">
        <v>46057</v>
      </c>
      <c r="G40" s="13">
        <v>5</v>
      </c>
      <c r="H40" s="6"/>
    </row>
    <row r="41" spans="2:8" ht="14.25" customHeight="1">
      <c r="B41" s="1"/>
      <c r="C41" s="12" t="s">
        <v>37</v>
      </c>
      <c r="D41" s="9" t="s">
        <v>77</v>
      </c>
      <c r="E41" s="9" t="s">
        <v>39</v>
      </c>
      <c r="F41" s="10">
        <v>46063</v>
      </c>
      <c r="G41" s="14">
        <v>4.5999999999999996</v>
      </c>
      <c r="H41" s="6"/>
    </row>
    <row r="42" spans="2:8" ht="14.25" customHeight="1">
      <c r="B42" s="1"/>
      <c r="C42" s="12" t="s">
        <v>41</v>
      </c>
      <c r="D42" s="9" t="s">
        <v>78</v>
      </c>
      <c r="E42" s="9" t="s">
        <v>39</v>
      </c>
      <c r="F42" s="10">
        <v>46063</v>
      </c>
      <c r="G42" s="11">
        <v>0.35</v>
      </c>
      <c r="H42" s="6"/>
    </row>
    <row r="43" spans="2:8" ht="14.25" customHeight="1">
      <c r="B43" s="1"/>
      <c r="C43" s="12" t="s">
        <v>44</v>
      </c>
      <c r="D43" s="9" t="s">
        <v>45</v>
      </c>
      <c r="E43" s="9" t="s">
        <v>46</v>
      </c>
      <c r="F43" s="10">
        <v>46063</v>
      </c>
      <c r="G43" s="11">
        <v>4.16</v>
      </c>
      <c r="H43" s="6"/>
    </row>
    <row r="44" spans="2:8" ht="14.25" customHeight="1">
      <c r="B44" s="1"/>
      <c r="C44" s="12" t="s">
        <v>48</v>
      </c>
      <c r="D44" s="9" t="s">
        <v>49</v>
      </c>
      <c r="E44" s="9" t="s">
        <v>39</v>
      </c>
      <c r="F44" s="10">
        <v>46057</v>
      </c>
      <c r="G44" s="16" t="s">
        <v>43</v>
      </c>
      <c r="H44" s="6"/>
    </row>
    <row r="45" spans="2:8" ht="14.25" customHeight="1">
      <c r="B45" s="1"/>
      <c r="C45" s="12" t="s">
        <v>50</v>
      </c>
      <c r="D45" s="9" t="s">
        <v>79</v>
      </c>
      <c r="E45" s="9" t="s">
        <v>52</v>
      </c>
      <c r="F45" s="10">
        <v>46057</v>
      </c>
      <c r="G45" s="14">
        <v>0.1</v>
      </c>
      <c r="H45" s="6"/>
    </row>
    <row r="46" spans="2:8" ht="14.25" customHeight="1">
      <c r="B46" s="1"/>
      <c r="C46" s="12" t="s">
        <v>53</v>
      </c>
      <c r="D46" s="9" t="s">
        <v>80</v>
      </c>
      <c r="E46" s="9" t="s">
        <v>52</v>
      </c>
      <c r="F46" s="10">
        <v>46057</v>
      </c>
      <c r="G46" s="16" t="s">
        <v>40</v>
      </c>
      <c r="H46" s="6"/>
    </row>
    <row r="47" spans="2:8" ht="14.25" customHeight="1">
      <c r="B47" s="1"/>
      <c r="C47" s="12" t="s">
        <v>55</v>
      </c>
      <c r="D47" s="9" t="s">
        <v>81</v>
      </c>
      <c r="E47" s="9" t="s">
        <v>52</v>
      </c>
      <c r="F47" s="10">
        <v>46057</v>
      </c>
      <c r="G47" s="14">
        <v>1.6</v>
      </c>
      <c r="H47" s="6"/>
    </row>
    <row r="48" spans="2:8" ht="14.25" customHeight="1">
      <c r="B48" s="1"/>
      <c r="C48" s="12" t="s">
        <v>57</v>
      </c>
      <c r="D48" s="9" t="s">
        <v>82</v>
      </c>
      <c r="E48" s="9" t="s">
        <v>59</v>
      </c>
      <c r="F48" s="10">
        <v>46057</v>
      </c>
      <c r="G48" s="14">
        <v>5.3</v>
      </c>
      <c r="H48" s="6"/>
    </row>
    <row r="49" spans="2:8" ht="14.25" customHeight="1">
      <c r="B49" s="1"/>
      <c r="C49" s="12" t="s">
        <v>60</v>
      </c>
      <c r="D49" s="9" t="s">
        <v>83</v>
      </c>
      <c r="E49" s="9" t="s">
        <v>59</v>
      </c>
      <c r="F49" s="10">
        <v>46057</v>
      </c>
      <c r="G49" s="14">
        <v>13</v>
      </c>
      <c r="H49" s="6"/>
    </row>
    <row r="50" spans="2:8" ht="14.25" customHeight="1">
      <c r="B50" s="1"/>
      <c r="C50" s="12" t="s">
        <v>62</v>
      </c>
      <c r="D50" s="9" t="s">
        <v>84</v>
      </c>
      <c r="E50" s="9" t="s">
        <v>52</v>
      </c>
      <c r="F50" s="10">
        <v>46057</v>
      </c>
      <c r="G50" s="14">
        <v>0.3</v>
      </c>
      <c r="H50" s="6"/>
    </row>
    <row r="51" spans="2:8" ht="14.25" customHeight="1">
      <c r="B51" s="1"/>
      <c r="C51" s="12" t="s">
        <v>64</v>
      </c>
      <c r="D51" s="9" t="s">
        <v>65</v>
      </c>
      <c r="E51" s="9" t="s">
        <v>66</v>
      </c>
      <c r="F51" s="10">
        <v>46052</v>
      </c>
      <c r="G51" s="13">
        <v>754</v>
      </c>
      <c r="H51" s="6"/>
    </row>
    <row r="52" spans="2:8" ht="14.25" customHeight="1">
      <c r="B52" s="1"/>
      <c r="C52" s="12" t="s">
        <v>67</v>
      </c>
      <c r="D52" s="9" t="s">
        <v>65</v>
      </c>
      <c r="E52" s="9" t="s">
        <v>68</v>
      </c>
      <c r="F52" s="10">
        <v>46052</v>
      </c>
      <c r="G52" s="13">
        <v>605</v>
      </c>
      <c r="H52" s="6"/>
    </row>
    <row r="53" spans="2:8" ht="14.25" customHeight="1">
      <c r="B53" s="1"/>
      <c r="C53" s="12" t="s">
        <v>85</v>
      </c>
      <c r="D53" s="9" t="s">
        <v>86</v>
      </c>
      <c r="E53" s="9" t="s">
        <v>87</v>
      </c>
      <c r="F53" s="10">
        <v>46051</v>
      </c>
      <c r="G53" s="16" t="s">
        <v>88</v>
      </c>
      <c r="H53" s="6"/>
    </row>
    <row r="54" spans="2:8" ht="14.25" customHeight="1">
      <c r="B54" s="1"/>
      <c r="C54" s="23" t="s">
        <v>89</v>
      </c>
      <c r="D54" s="9" t="s">
        <v>86</v>
      </c>
      <c r="E54" s="9" t="s">
        <v>87</v>
      </c>
      <c r="F54" s="10">
        <v>46051</v>
      </c>
      <c r="G54" s="16" t="s">
        <v>90</v>
      </c>
      <c r="H54" s="6"/>
    </row>
    <row r="55" spans="2:8" ht="14.25" customHeight="1"/>
    <row r="56" spans="2:8" ht="14.25" customHeight="1">
      <c r="B56" s="34" t="s">
        <v>91</v>
      </c>
      <c r="C56" s="32"/>
      <c r="D56" s="32"/>
      <c r="E56" s="32"/>
      <c r="F56" s="32"/>
      <c r="G56" s="32"/>
      <c r="H56" s="32"/>
    </row>
    <row r="57" spans="2:8" ht="14.25" customHeight="1">
      <c r="B57" s="21"/>
      <c r="C57" s="24" t="s">
        <v>1</v>
      </c>
      <c r="D57" s="25" t="s">
        <v>2</v>
      </c>
      <c r="E57" s="26" t="s">
        <v>3</v>
      </c>
      <c r="F57" s="27" t="s">
        <v>4</v>
      </c>
      <c r="G57" s="28" t="s">
        <v>5</v>
      </c>
      <c r="H57" s="6"/>
    </row>
    <row r="58" spans="2:8" ht="14.25" customHeight="1">
      <c r="B58" s="21"/>
      <c r="C58" s="22" t="s">
        <v>6</v>
      </c>
      <c r="D58" s="8" t="s">
        <v>7</v>
      </c>
      <c r="E58" s="9" t="s">
        <v>8</v>
      </c>
      <c r="F58" s="10">
        <v>46051</v>
      </c>
      <c r="G58" s="11">
        <v>0.96</v>
      </c>
      <c r="H58" s="6"/>
    </row>
    <row r="59" spans="2:8" ht="14.25" customHeight="1">
      <c r="B59" s="21"/>
      <c r="C59" s="29" t="s">
        <v>9</v>
      </c>
      <c r="D59" s="9" t="s">
        <v>10</v>
      </c>
      <c r="E59" s="9" t="s">
        <v>11</v>
      </c>
      <c r="F59" s="10">
        <v>46051</v>
      </c>
      <c r="G59" s="13">
        <v>9</v>
      </c>
      <c r="H59" s="6"/>
    </row>
    <row r="60" spans="2:8" ht="14.25" customHeight="1">
      <c r="B60" s="21"/>
      <c r="C60" s="29" t="s">
        <v>12</v>
      </c>
      <c r="D60" s="9" t="s">
        <v>2</v>
      </c>
      <c r="E60" s="9" t="s">
        <v>13</v>
      </c>
      <c r="F60" s="10">
        <v>46051</v>
      </c>
      <c r="G60" s="11">
        <v>5.35</v>
      </c>
      <c r="H60" s="6"/>
    </row>
    <row r="61" spans="2:8" ht="14.25" customHeight="1">
      <c r="B61" s="21"/>
      <c r="C61" s="29" t="s">
        <v>14</v>
      </c>
      <c r="D61" s="9" t="s">
        <v>92</v>
      </c>
      <c r="E61" s="9" t="s">
        <v>16</v>
      </c>
      <c r="F61" s="10">
        <v>46051</v>
      </c>
      <c r="G61" s="14">
        <v>69</v>
      </c>
      <c r="H61" s="6"/>
    </row>
    <row r="62" spans="2:8" ht="14.25" customHeight="1">
      <c r="B62" s="21"/>
      <c r="C62" s="29" t="s">
        <v>17</v>
      </c>
      <c r="D62" s="9" t="s">
        <v>93</v>
      </c>
      <c r="E62" s="9" t="s">
        <v>19</v>
      </c>
      <c r="F62" s="10">
        <v>46051</v>
      </c>
      <c r="G62" s="13">
        <v>6</v>
      </c>
      <c r="H62" s="6"/>
    </row>
    <row r="63" spans="2:8" ht="14.25" customHeight="1">
      <c r="B63" s="21"/>
      <c r="C63" s="29" t="s">
        <v>20</v>
      </c>
      <c r="D63" s="9" t="s">
        <v>94</v>
      </c>
      <c r="E63" s="9" t="s">
        <v>22</v>
      </c>
      <c r="F63" s="10">
        <v>46051</v>
      </c>
      <c r="G63" s="13">
        <v>16</v>
      </c>
      <c r="H63" s="6"/>
    </row>
    <row r="64" spans="2:8" ht="14.25" customHeight="1">
      <c r="B64" s="21"/>
      <c r="C64" s="29" t="s">
        <v>23</v>
      </c>
      <c r="D64" s="9" t="s">
        <v>95</v>
      </c>
      <c r="E64" s="9" t="s">
        <v>25</v>
      </c>
      <c r="F64" s="10">
        <v>46057</v>
      </c>
      <c r="G64" s="13">
        <v>7</v>
      </c>
      <c r="H64" s="6"/>
    </row>
    <row r="65" spans="2:8" ht="14.25" customHeight="1">
      <c r="B65" s="21"/>
      <c r="C65" s="29" t="s">
        <v>26</v>
      </c>
      <c r="D65" s="9" t="s">
        <v>96</v>
      </c>
      <c r="E65" s="9" t="s">
        <v>28</v>
      </c>
      <c r="F65" s="10">
        <v>46057</v>
      </c>
      <c r="G65" s="15" t="s">
        <v>29</v>
      </c>
      <c r="H65" s="6"/>
    </row>
    <row r="66" spans="2:8" ht="14.25" customHeight="1">
      <c r="B66" s="21"/>
      <c r="C66" s="29" t="s">
        <v>30</v>
      </c>
      <c r="D66" s="9" t="s">
        <v>97</v>
      </c>
      <c r="E66" s="9" t="s">
        <v>32</v>
      </c>
      <c r="F66" s="10">
        <v>46057</v>
      </c>
      <c r="G66" s="13">
        <v>7</v>
      </c>
      <c r="H66" s="6"/>
    </row>
    <row r="67" spans="2:8" ht="14.25" customHeight="1">
      <c r="B67" s="21"/>
      <c r="C67" s="29" t="s">
        <v>33</v>
      </c>
      <c r="D67" s="9" t="s">
        <v>34</v>
      </c>
      <c r="E67" s="9" t="s">
        <v>28</v>
      </c>
      <c r="F67" s="10">
        <v>46057</v>
      </c>
      <c r="G67" s="13">
        <v>0</v>
      </c>
      <c r="H67" s="6"/>
    </row>
    <row r="68" spans="2:8" ht="14.25" customHeight="1">
      <c r="B68" s="21"/>
      <c r="C68" s="29" t="s">
        <v>35</v>
      </c>
      <c r="D68" s="9" t="s">
        <v>36</v>
      </c>
      <c r="E68" s="9" t="s">
        <v>32</v>
      </c>
      <c r="F68" s="10">
        <v>46057</v>
      </c>
      <c r="G68" s="13">
        <v>2</v>
      </c>
      <c r="H68" s="6"/>
    </row>
    <row r="69" spans="2:8" ht="14.25" customHeight="1">
      <c r="B69" s="21"/>
      <c r="C69" s="29" t="s">
        <v>37</v>
      </c>
      <c r="D69" s="9" t="s">
        <v>98</v>
      </c>
      <c r="E69" s="9" t="s">
        <v>39</v>
      </c>
      <c r="F69" s="10">
        <v>46063</v>
      </c>
      <c r="G69" s="16" t="s">
        <v>40</v>
      </c>
      <c r="H69" s="6"/>
    </row>
    <row r="70" spans="2:8" ht="14.25" customHeight="1">
      <c r="B70" s="21"/>
      <c r="C70" s="29" t="s">
        <v>41</v>
      </c>
      <c r="D70" s="9" t="s">
        <v>99</v>
      </c>
      <c r="E70" s="9" t="s">
        <v>39</v>
      </c>
      <c r="F70" s="10">
        <v>46063</v>
      </c>
      <c r="G70" s="11">
        <v>0.05</v>
      </c>
      <c r="H70" s="6"/>
    </row>
    <row r="71" spans="2:8" ht="14.25" customHeight="1">
      <c r="B71" s="21"/>
      <c r="C71" s="29" t="s">
        <v>44</v>
      </c>
      <c r="D71" s="9" t="s">
        <v>45</v>
      </c>
      <c r="E71" s="9" t="s">
        <v>46</v>
      </c>
      <c r="F71" s="10">
        <v>46063</v>
      </c>
      <c r="G71" s="16" t="s">
        <v>47</v>
      </c>
      <c r="H71" s="6"/>
    </row>
    <row r="72" spans="2:8" ht="14.25" customHeight="1">
      <c r="B72" s="21"/>
      <c r="C72" s="29" t="s">
        <v>48</v>
      </c>
      <c r="D72" s="9" t="s">
        <v>49</v>
      </c>
      <c r="E72" s="9" t="s">
        <v>39</v>
      </c>
      <c r="F72" s="10">
        <v>46057</v>
      </c>
      <c r="G72" s="16" t="s">
        <v>43</v>
      </c>
      <c r="H72" s="6"/>
    </row>
    <row r="73" spans="2:8" ht="14.25" customHeight="1">
      <c r="B73" s="21"/>
      <c r="C73" s="29" t="s">
        <v>50</v>
      </c>
      <c r="D73" s="9" t="s">
        <v>100</v>
      </c>
      <c r="E73" s="9" t="s">
        <v>52</v>
      </c>
      <c r="F73" s="10">
        <v>46057</v>
      </c>
      <c r="G73" s="16" t="s">
        <v>101</v>
      </c>
      <c r="H73" s="6"/>
    </row>
    <row r="74" spans="2:8" ht="14.25" customHeight="1">
      <c r="B74" s="21"/>
      <c r="C74" s="29" t="s">
        <v>53</v>
      </c>
      <c r="D74" s="9" t="s">
        <v>102</v>
      </c>
      <c r="E74" s="9" t="s">
        <v>52</v>
      </c>
      <c r="F74" s="10">
        <v>46057</v>
      </c>
      <c r="G74" s="16" t="s">
        <v>40</v>
      </c>
      <c r="H74" s="6"/>
    </row>
    <row r="75" spans="2:8" ht="14.25" customHeight="1">
      <c r="B75" s="21"/>
      <c r="C75" s="29" t="s">
        <v>55</v>
      </c>
      <c r="D75" s="9" t="s">
        <v>103</v>
      </c>
      <c r="E75" s="9" t="s">
        <v>52</v>
      </c>
      <c r="F75" s="10">
        <v>46057</v>
      </c>
      <c r="G75" s="14">
        <v>19.2</v>
      </c>
      <c r="H75" s="6"/>
    </row>
    <row r="76" spans="2:8" ht="14.25" customHeight="1">
      <c r="B76" s="21"/>
      <c r="C76" s="29" t="s">
        <v>57</v>
      </c>
      <c r="D76" s="9" t="s">
        <v>104</v>
      </c>
      <c r="E76" s="9" t="s">
        <v>59</v>
      </c>
      <c r="F76" s="10">
        <v>46057</v>
      </c>
      <c r="G76" s="14">
        <v>15</v>
      </c>
      <c r="H76" s="6"/>
    </row>
    <row r="77" spans="2:8" ht="14.25" customHeight="1">
      <c r="B77" s="21"/>
      <c r="C77" s="29" t="s">
        <v>60</v>
      </c>
      <c r="D77" s="9" t="s">
        <v>105</v>
      </c>
      <c r="E77" s="9" t="s">
        <v>59</v>
      </c>
      <c r="F77" s="10">
        <v>46057</v>
      </c>
      <c r="G77" s="14">
        <v>0.5</v>
      </c>
      <c r="H77" s="6"/>
    </row>
    <row r="78" spans="2:8" ht="14.25" customHeight="1">
      <c r="B78" s="21"/>
      <c r="C78" s="29" t="s">
        <v>62</v>
      </c>
      <c r="D78" s="9" t="s">
        <v>106</v>
      </c>
      <c r="E78" s="9" t="s">
        <v>52</v>
      </c>
      <c r="F78" s="10">
        <v>46057</v>
      </c>
      <c r="G78" s="16" t="s">
        <v>107</v>
      </c>
      <c r="H78" s="6"/>
    </row>
    <row r="79" spans="2:8" ht="14.25" customHeight="1">
      <c r="B79" s="21"/>
      <c r="C79" s="29" t="s">
        <v>64</v>
      </c>
      <c r="D79" s="9" t="s">
        <v>65</v>
      </c>
      <c r="E79" s="9" t="s">
        <v>66</v>
      </c>
      <c r="F79" s="10">
        <v>46052</v>
      </c>
      <c r="G79" s="13">
        <v>54</v>
      </c>
      <c r="H79" s="6"/>
    </row>
    <row r="80" spans="2:8" ht="14.25" customHeight="1">
      <c r="B80" s="21"/>
      <c r="C80" s="29" t="s">
        <v>67</v>
      </c>
      <c r="D80" s="9" t="s">
        <v>65</v>
      </c>
      <c r="E80" s="9" t="s">
        <v>68</v>
      </c>
      <c r="F80" s="10">
        <v>46052</v>
      </c>
      <c r="G80" s="16" t="s">
        <v>29</v>
      </c>
      <c r="H80" s="6"/>
    </row>
    <row r="81" spans="2:8" ht="14.25" customHeight="1">
      <c r="B81" s="21"/>
      <c r="C81" s="29" t="s">
        <v>85</v>
      </c>
      <c r="D81" s="9" t="s">
        <v>86</v>
      </c>
      <c r="E81" s="9" t="s">
        <v>87</v>
      </c>
      <c r="F81" s="10">
        <v>46051</v>
      </c>
      <c r="G81" s="16" t="s">
        <v>108</v>
      </c>
      <c r="H81" s="6"/>
    </row>
    <row r="82" spans="2:8" ht="14.25" customHeight="1">
      <c r="B82" s="21"/>
      <c r="C82" s="23" t="s">
        <v>89</v>
      </c>
      <c r="D82" s="8" t="s">
        <v>86</v>
      </c>
      <c r="E82" s="9" t="s">
        <v>87</v>
      </c>
      <c r="F82" s="10">
        <v>46051</v>
      </c>
      <c r="G82" s="9" t="s">
        <v>108</v>
      </c>
      <c r="H82" s="6"/>
    </row>
    <row r="83" spans="2:8" ht="14.25" customHeight="1"/>
    <row r="84" spans="2:8" ht="14.25" customHeight="1"/>
    <row r="85" spans="2:8" ht="14.25" customHeight="1"/>
    <row r="86" spans="2:8" ht="14.25" customHeight="1"/>
    <row r="87" spans="2:8" ht="14.25" customHeight="1"/>
    <row r="88" spans="2:8" ht="14.25" customHeight="1"/>
    <row r="89" spans="2:8" ht="14.25" customHeight="1"/>
    <row r="90" spans="2:8" ht="14.25" customHeight="1"/>
    <row r="91" spans="2:8" ht="14.25" customHeight="1"/>
    <row r="92" spans="2:8" ht="14.25" customHeight="1"/>
    <row r="93" spans="2:8" ht="14.25" customHeight="1"/>
    <row r="94" spans="2:8" ht="14.25" customHeight="1"/>
    <row r="95" spans="2:8" ht="14.25" customHeight="1"/>
    <row r="96" spans="2:8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B2:H2"/>
    <mergeCell ref="B28:H28"/>
    <mergeCell ref="B56:H56"/>
  </mergeCells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Puntos</vt:lpstr>
      <vt:lpstr>Fisico_quim</vt:lpstr>
      <vt:lpstr>IRCA_vertical</vt:lpstr>
      <vt:lpstr>IRCA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PC-2</dc:creator>
  <cp:lastModifiedBy>Joshua Rendón Algecira</cp:lastModifiedBy>
  <dcterms:created xsi:type="dcterms:W3CDTF">2026-04-15T21:57:59Z</dcterms:created>
  <dcterms:modified xsi:type="dcterms:W3CDTF">2026-05-14T21:09:15Z</dcterms:modified>
</cp:coreProperties>
</file>